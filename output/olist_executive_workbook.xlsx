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ede_0021xgx\OneDrive\Bureaublad\Job seeking\Project for application\Brazilian E-Commerce Public\files\"/>
    </mc:Choice>
  </mc:AlternateContent>
  <xr:revisionPtr revIDLastSave="0" documentId="13_ncr:1_{558C14C7-1FF3-4218-ABFB-968AD6B979F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Executive Summary" sheetId="1" r:id="rId1"/>
    <sheet name="Revenue &amp; Growth" sheetId="2" r:id="rId2"/>
    <sheet name="Product Categories" sheetId="3" r:id="rId3"/>
    <sheet name="Geography" sheetId="4" r:id="rId4"/>
    <sheet name="Delivery Performance" sheetId="5" r:id="rId5"/>
    <sheet name="Payments &amp; AOV" sheetId="6" r:id="rId6"/>
    <sheet name="Customer Reviews" sheetId="7" r:id="rId7"/>
    <sheet name="RFM Segmentation" sheetId="8" r:id="rId8"/>
    <sheet name="Seller Performance" sheetId="9" r:id="rId9"/>
    <sheet name="Order Timing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2" l="1"/>
  <c r="D25" i="2"/>
  <c r="C25" i="2"/>
</calcChain>
</file>

<file path=xl/sharedStrings.xml><?xml version="1.0" encoding="utf-8"?>
<sst xmlns="http://schemas.openxmlformats.org/spreadsheetml/2006/main" count="466" uniqueCount="295">
  <si>
    <t>🇧🇷  OLIST BRAZILIAN E-COMMERCE  ·  COMPREHENSIVE PERFORMANCE REPORT</t>
  </si>
  <si>
    <t>Period: September 2016 – October 2018  ·  Source: Kaggle / olistbr  ·  Confidential</t>
  </si>
  <si>
    <t>TOTAL DELIVERED ORDERS</t>
  </si>
  <si>
    <t>GROSS REVENUE</t>
  </si>
  <si>
    <t>UNIQUE CUSTOMERS</t>
  </si>
  <si>
    <t>ACTIVE SELLERS</t>
  </si>
  <si>
    <t>3,095</t>
  </si>
  <si>
    <t>Sept 2016 – Oct 2018</t>
  </si>
  <si>
    <t>Product sales excl. freight</t>
  </si>
  <si>
    <t>Based on customer_unique_id</t>
  </si>
  <si>
    <t>Across all Brazilian states</t>
  </si>
  <si>
    <t>AVG REVIEW SCORE</t>
  </si>
  <si>
    <t>LATE DELIVERY RATE</t>
  </si>
  <si>
    <t>REPEAT PURCHASE RATE</t>
  </si>
  <si>
    <t>FREIGHT COST RATIO</t>
  </si>
  <si>
    <t>Based on 99K+ reviews</t>
  </si>
  <si>
    <t>vs estimated delivery date</t>
  </si>
  <si>
    <t>Customers with 2+ orders</t>
  </si>
  <si>
    <t>Freight / Product Revenue</t>
  </si>
  <si>
    <t xml:space="preserve">  KEY FINDINGS &amp; STRATEGIC INSIGHTS</t>
  </si>
  <si>
    <t>AREA</t>
  </si>
  <si>
    <t>FINDING</t>
  </si>
  <si>
    <t>IMPACT</t>
  </si>
  <si>
    <t>RECOMMENDED ACTION</t>
  </si>
  <si>
    <t>Revenue Growth</t>
  </si>
  <si>
    <t>+234% revenue growth from Q1 2017 to Q1 2018</t>
  </si>
  <si>
    <t>HIGH</t>
  </si>
  <si>
    <t>Sustain growth in top states; expand to underserved regions</t>
  </si>
  <si>
    <t>Top Categories</t>
  </si>
  <si>
    <t>Health &amp; Beauty, Watches and Bed/Bath represent 43% of revenue</t>
  </si>
  <si>
    <t>Prioritise seller acquisition in these 3 categories</t>
  </si>
  <si>
    <t>Delivery</t>
  </si>
  <si>
    <t>CRITICAL</t>
  </si>
  <si>
    <t>Negotiate SLAs with carriers in North/Northeast Brazil</t>
  </si>
  <si>
    <t>Customer Base</t>
  </si>
  <si>
    <t>97% of customers only bought once — extremely low retention</t>
  </si>
  <si>
    <t>Launch loyalty/re-engagement programme immediately</t>
  </si>
  <si>
    <t>Payments</t>
  </si>
  <si>
    <t>Orders with 10 installments avg R$415 vs R$96 for single payment</t>
  </si>
  <si>
    <t>MEDIUM</t>
  </si>
  <si>
    <t>Promote installment options to increase average order value</t>
  </si>
  <si>
    <t>Satisfaction</t>
  </si>
  <si>
    <t>Review seller quality standards in these categories</t>
  </si>
  <si>
    <t>Geography</t>
  </si>
  <si>
    <t>São Paulo alone drives 40% of orders; North/NE severely underserved</t>
  </si>
  <si>
    <t>Build regional fulfilment centres to reduce delivery gaps</t>
  </si>
  <si>
    <t xml:space="preserve">  QUARTERLY REVENUE OVERVIEW (R$)</t>
  </si>
  <si>
    <t>Quarter</t>
  </si>
  <si>
    <t>Delivered Orders</t>
  </si>
  <si>
    <t>Revenue (R$)</t>
  </si>
  <si>
    <t>QoQ Growth %</t>
  </si>
  <si>
    <t>2017Q1</t>
  </si>
  <si>
    <t>2017Q2</t>
  </si>
  <si>
    <t>2017Q3</t>
  </si>
  <si>
    <t>2017Q4</t>
  </si>
  <si>
    <t>2018Q1</t>
  </si>
  <si>
    <t>2018Q2</t>
  </si>
  <si>
    <t>2018Q3</t>
  </si>
  <si>
    <t>REVENUE &amp; GROWTH ANALYSIS  ·  Monthly Trends  ·  Sept 2016 – Oct 2018</t>
  </si>
  <si>
    <t xml:space="preserve">  MONTHLY SALES PERFORMANCE (DELIVERED ORDERS ONLY)</t>
  </si>
  <si>
    <t>Month</t>
  </si>
  <si>
    <t>Avg Order Value (R$)</t>
  </si>
  <si>
    <t>MoM Revenue Growth %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</si>
  <si>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</si>
  <si>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</si>
  <si>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</si>
  <si>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</si>
  <si>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</si>
  <si>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</si>
  <si>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</si>
  <si>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</si>
  <si>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</si>
  <si>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</si>
  <si>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</si>
  <si>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</si>
  <si>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</si>
  <si>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</si>
  <si>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</si>
  <si>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</si>
  <si>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</si>
  <si>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</si>
  <si>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</si>
  <si>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</si>
  <si>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TOTAL / AVG</t>
  </si>
  <si>
    <t>PRODUCT CATEGORY ANALYSIS  ·  Revenue, Volume &amp; Customer Satisfaction</t>
  </si>
  <si>
    <t xml:space="preserve">  TOP 30 CATEGORIES BY REVENUE (DELIVERED ORDERS)</t>
  </si>
  <si>
    <t>Category</t>
  </si>
  <si>
    <t># Orders</t>
  </si>
  <si>
    <t>Avg Price (R$)</t>
  </si>
  <si>
    <t>Avg Review ★</t>
  </si>
  <si>
    <t>Revenue Share %</t>
  </si>
  <si>
    <t>Rank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</si>
  <si>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</si>
  <si>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</si>
  <si>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</si>
  <si>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</si>
  <si>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</si>
  <si>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</si>
  <si>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</si>
  <si>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</si>
  <si>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</si>
  <si>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toys</t>
  </si>
  <si>
    <t>garden_tools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</si>
  <si>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</si>
  <si>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</si>
  <si>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</si>
  <si>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</si>
  <si>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</si>
  <si>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</si>
  <si>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</si>
  <si>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</si>
  <si>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</si>
  <si>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electronics</t>
  </si>
  <si>
    <t>fashion_bags_accessories</t>
  </si>
  <si>
    <t>consoles_games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</si>
  <si>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</si>
  <si>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</si>
  <si>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</si>
  <si>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</si>
  <si>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</si>
  <si>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</si>
  <si>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</si>
  <si>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GEOGRAPHIC ANALYSIS  ·  Customer &amp; Seller Distribution by State</t>
  </si>
  <si>
    <t xml:space="preserve">  CUSTOMER ORDERS &amp; REVENUE BY STATE</t>
  </si>
  <si>
    <t>State</t>
  </si>
  <si>
    <t>Orders Share %</t>
  </si>
  <si>
    <t>SP</t>
  </si>
  <si>
    <t>RJ</t>
  </si>
  <si>
    <t>MG</t>
  </si>
  <si>
    <t>RS</t>
  </si>
  <si>
    <t>PR</t>
  </si>
  <si>
    <t>SC</t>
  </si>
  <si>
    <t>BA</t>
  </si>
  <si>
    <t>DF</t>
  </si>
  <si>
    <t>ES</t>
  </si>
  <si>
    <t>GO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</si>
  <si>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</si>
  <si>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</si>
  <si>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</si>
  <si>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</si>
  <si>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</si>
  <si>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</si>
  <si>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</si>
  <si>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</si>
  <si>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</si>
  <si>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</si>
  <si>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</si>
  <si>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</si>
  <si>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</si>
  <si>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</si>
  <si>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</si>
  <si>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</si>
  <si>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</si>
  <si>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 xml:space="preserve">  SELLER REVENUE BY STATE (TOP 10)</t>
  </si>
  <si>
    <t>Seller State</t>
  </si>
  <si>
    <t>Revenue Generated (R$)</t>
  </si>
  <si>
    <t>Share %</t>
  </si>
  <si>
    <t>DELIVERY PERFORMANCE  ·  Speed, Reliability &amp; Late Delivery Analysis</t>
  </si>
  <si>
    <t>AVG DELIVERY TIME</t>
  </si>
  <si>
    <t>MEDIAN DELIVERY</t>
  </si>
  <si>
    <t>LATE → AVG REVIEW</t>
  </si>
  <si>
    <t>ON-TIME → AVG REVIEW</t>
  </si>
  <si>
    <t>10 days</t>
  </si>
  <si>
    <t xml:space="preserve">  DELIVERY PERFORMANCE BY CUSTOMER STATE (min 100 orders)</t>
  </si>
  <si>
    <t>Avg Delivery Days</t>
  </si>
  <si>
    <t>Late Rate %</t>
  </si>
  <si>
    <t>Status</t>
  </si>
  <si>
    <t>🔴 Critical</t>
  </si>
  <si>
    <t>🟡 Slow</t>
  </si>
  <si>
    <t>🟢 Good</t>
  </si>
  <si>
    <t xml:space="preserve">  MONTHLY DELIVERY TIME TREND (IMPROVEMENT ANALYSIS)</t>
  </si>
  <si>
    <t>YoY Trend</t>
  </si>
  <si>
    <t>→ Stable</t>
  </si>
  <si>
    <t>↘ Slow</t>
  </si>
  <si>
    <t>↗ Improving</t>
  </si>
  <si>
    <t xml:space="preserve">  DELIVERY DAYS DISTRIBUTION</t>
  </si>
  <si>
    <t>Days</t>
  </si>
  <si>
    <t>%</t>
  </si>
  <si>
    <t>PAYMENTS &amp; AVERAGE ORDER VALUE  ·  Methods, Installments &amp; Basket Analysis</t>
  </si>
  <si>
    <t xml:space="preserve">  PAYMENT METHOD BREAKDOWN</t>
  </si>
  <si>
    <t>Payment Method</t>
  </si>
  <si>
    <t>Total Value (R$)</t>
  </si>
  <si>
    <t># Transactions</t>
  </si>
  <si>
    <t>Avg Transaction (R$)</t>
  </si>
  <si>
    <t>Boleto</t>
  </si>
  <si>
    <t>Credit Card</t>
  </si>
  <si>
    <t>Debit Card</t>
  </si>
  <si>
    <t>Voucher</t>
  </si>
  <si>
    <t xml:space="preserve">  CREDIT CARD INSTALLMENTS — IMPACT ON AVERAGE ORDER VALUE</t>
  </si>
  <si>
    <t># Installments</t>
  </si>
  <si>
    <t>Cumulative %</t>
  </si>
  <si>
    <t>CUSTOMER REVIEWS &amp; SATISFACTION  ·  Score Distribution &amp; Category Analysis</t>
  </si>
  <si>
    <t xml:space="preserve">  REVIEW SCORE DISTRIBUTION (ALL ORDERS)</t>
  </si>
  <si>
    <t>Score</t>
  </si>
  <si>
    <t># Reviews</t>
  </si>
  <si>
    <t>% of Total</t>
  </si>
  <si>
    <t>Interpretation</t>
  </si>
  <si>
    <t>★ — Very Unhappy</t>
  </si>
  <si>
    <t>★★ — Unhappy</t>
  </si>
  <si>
    <t>★★★ — Neutral</t>
  </si>
  <si>
    <t>★★★★ — Happy</t>
  </si>
  <si>
    <t>★★★★★ — Very Happy</t>
  </si>
  <si>
    <t xml:space="preserve">  DELIVERY IMPACT ON REVIEW SCORES</t>
  </si>
  <si>
    <t>Avg Review Score</t>
  </si>
  <si>
    <t>Sample</t>
  </si>
  <si>
    <t>Insight</t>
  </si>
  <si>
    <t>On-Time Delivery</t>
  </si>
  <si>
    <t>102,933</t>
  </si>
  <si>
    <t>Strong satisfaction — meets expectations</t>
  </si>
  <si>
    <t>Late Delivery</t>
  </si>
  <si>
    <t>7,264</t>
  </si>
  <si>
    <t>⚠️ -1.95 point drop — significant churn risk</t>
  </si>
  <si>
    <t xml:space="preserve">  CATEGORIES WITH LOWEST CUSTOMER SATISFACTION (min 100 orders)</t>
  </si>
  <si>
    <t>% 1-Star</t>
  </si>
  <si>
    <t>% 5-Star</t>
  </si>
  <si>
    <t>Risk Level</t>
  </si>
  <si>
    <t>🔴 High</t>
  </si>
  <si>
    <t>fixed_telephony</t>
  </si>
  <si>
    <t>fashion_male_clothing</t>
  </si>
  <si>
    <t>audio</t>
  </si>
  <si>
    <t>🟡 Medium</t>
  </si>
  <si>
    <t>home_confort</t>
  </si>
  <si>
    <t>construction_tools_safety</t>
  </si>
  <si>
    <t>kitchen_dining_laundry_garden_furniture</t>
  </si>
  <si>
    <t>fashion_underwear_beach</t>
  </si>
  <si>
    <t>air_conditioning</t>
  </si>
  <si>
    <t>christmas_supplies</t>
  </si>
  <si>
    <t>market_place</t>
  </si>
  <si>
    <t>RFM CUSTOMER SEGMENTATION  ·  Recency · Frequency · Monetary Analysis</t>
  </si>
  <si>
    <t xml:space="preserve">  CUSTOMER SEGMENTS OVERVIEW — Snapshot Date: Oct 2018</t>
  </si>
  <si>
    <t>Segment</t>
  </si>
  <si>
    <t># Customers</t>
  </si>
  <si>
    <t>Avg Spend (R$)</t>
  </si>
  <si>
    <t>Avg Orders</t>
  </si>
  <si>
    <t>Recommended Action</t>
  </si>
  <si>
    <t>Potential Loyalists</t>
  </si>
  <si>
    <t>Personalised offers. Nudge to 2nd purchase.</t>
  </si>
  <si>
    <t>Loyal Customers</t>
  </si>
  <si>
    <t>Upsell premium. Enroll in loyalty programme.</t>
  </si>
  <si>
    <t>Champions</t>
  </si>
  <si>
    <t>Reward &amp; retain. Ask for referrals and reviews.</t>
  </si>
  <si>
    <t>At Risk</t>
  </si>
  <si>
    <t>Win-back campaign. Investigate churn reason.</t>
  </si>
  <si>
    <t>Lost</t>
  </si>
  <si>
    <t>Last-chance re-activation email only.</t>
  </si>
  <si>
    <t xml:space="preserve">  RFM SCORE DISTRIBUTION</t>
  </si>
  <si>
    <t>RFM Score</t>
  </si>
  <si>
    <t>% Base</t>
  </si>
  <si>
    <t>Avg Monetary (R$)</t>
  </si>
  <si>
    <t>SELLER PERFORMANCE  ·  Top 20 Sellers by Revenue &amp; Satisfaction</t>
  </si>
  <si>
    <t xml:space="preserve">  TOP 20 SELLERS — REVENUE &amp; REVIEW PERFORMANCE</t>
  </si>
  <si>
    <t>Seller ID</t>
  </si>
  <si>
    <t># Products</t>
  </si>
  <si>
    <t>Tier</t>
  </si>
  <si>
    <t>4869f7a5dfa277a7dca6...</t>
  </si>
  <si>
    <t>✅ Strong</t>
  </si>
  <si>
    <t>53243585a1d6dc264302...</t>
  </si>
  <si>
    <t>4a3ca9315b744ce9f8e9...</t>
  </si>
  <si>
    <t>⚠️ Needs Review</t>
  </si>
  <si>
    <t>fa1c13f2614d7b5c4749...</t>
  </si>
  <si>
    <t>7c67e1448b00f6e969d3...</t>
  </si>
  <si>
    <t>7e93a43ef30c4f03f38b...</t>
  </si>
  <si>
    <t>da8622b14eb17ae2831f...</t>
  </si>
  <si>
    <t>7a67c85e85bb2ce8582c...</t>
  </si>
  <si>
    <t>1025f0e2d44d7041d6cf...</t>
  </si>
  <si>
    <t>955fee9216a65b617aa5...</t>
  </si>
  <si>
    <t>46dc3b2cc0980fb8ec44...</t>
  </si>
  <si>
    <t>6560211a19b47992c366...</t>
  </si>
  <si>
    <t>620c87c171fb2a6dd6e8...</t>
  </si>
  <si>
    <t>7d13fca15225358621be...</t>
  </si>
  <si>
    <t>5dceca129747e92ff8ef...</t>
  </si>
  <si>
    <t>1f50f920176fa81dab99...</t>
  </si>
  <si>
    <t>cc419e0650a3c5ba7718...</t>
  </si>
  <si>
    <t>a1043bafd471dff536d0...</t>
  </si>
  <si>
    <t>3d871de0142ce09b7081...</t>
  </si>
  <si>
    <t>edb1ef5e36e0c8cd84eb...</t>
  </si>
  <si>
    <t>ORDER TIMING  ·  Peak Hours, Peak Days &amp; Purchase Behaviour Patterns</t>
  </si>
  <si>
    <t xml:space="preserve">  ORDERS BY HOUR OF DAY</t>
  </si>
  <si>
    <t xml:space="preserve">  ORDERS BY DAY OF WEEK</t>
  </si>
  <si>
    <t>Hour (0–23)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</si>
  <si>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</si>
  <si>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</si>
  <si>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</si>
  <si>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</si>
  <si>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</si>
  <si>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</si>
  <si>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</si>
  <si>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</si>
  <si>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12 days</t>
  </si>
  <si>
    <t>2,26 ★</t>
  </si>
  <si>
    <t>4,21 ★</t>
  </si>
  <si>
    <t>R$ 13.221.498</t>
  </si>
  <si>
    <t>4,02 / 5.0</t>
  </si>
  <si>
    <t>6,6% late rate; late orders score avg 2,26★ vs 4,21★ on-time</t>
  </si>
  <si>
    <t>Office Furniture &amp; Fixed Telephony score below 3,8★ despite high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</si>
</sst>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</font>
    <font>
      <i/>
      <sz val="9"/>
      <color rgb="FF566573"/>
      <name val="Calibri"/>
      <family val="2"/>
    </font>
    <font>
      <sz val="8"/>
      <color rgb="FFABEBC6"/>
      <name val="Calibri"/>
      <family val="2"/>
    </font>
    <font>
      <sz val="8"/>
      <color rgb="FFFFFFFF"/>
      <name val="Calibri"/>
      <family val="2"/>
    </font>
    <font>
      <b/>
      <sz val="18"/>
      <color rgb="FF1B3A6B"/>
      <name val="Calibri"/>
      <family val="2"/>
    </font>
    <font>
      <b/>
      <sz val="18"/>
      <color rgb="FF0E8A7B"/>
      <name val="Calibri"/>
      <family val="2"/>
    </font>
    <font>
      <b/>
      <sz val="18"/>
      <color rgb="FF1A5276"/>
      <name val="Calibri"/>
      <family val="2"/>
    </font>
    <font>
      <b/>
      <sz val="18"/>
      <color rgb="FF6C3483"/>
      <name val="Calibri"/>
      <family val="2"/>
    </font>
    <font>
      <i/>
      <sz val="8"/>
      <color rgb="FF566573"/>
      <name val="Calibri"/>
      <family val="2"/>
    </font>
    <font>
      <b/>
      <sz val="18"/>
      <color rgb="FF1E8449"/>
      <name val="Calibri"/>
      <family val="2"/>
    </font>
    <font>
      <b/>
      <sz val="18"/>
      <color rgb="FFC0392B"/>
      <name val="Calibri"/>
      <family val="2"/>
    </font>
    <font>
      <b/>
      <sz val="18"/>
      <color rgb="FFD4690A"/>
      <name val="Calibri"/>
      <family val="2"/>
    </font>
    <font>
      <b/>
      <sz val="18"/>
      <color rgb="FF566573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C2833"/>
      <name val="Calibri"/>
      <family val="2"/>
    </font>
    <font>
      <sz val="9"/>
      <color rgb="FF1C2833"/>
      <name val="Calibri"/>
      <family val="2"/>
    </font>
    <font>
      <b/>
      <sz val="9"/>
      <color rgb="FFD4690A"/>
      <name val="Calibri"/>
      <family val="2"/>
    </font>
    <font>
      <b/>
      <sz val="9"/>
      <color rgb="FFC0392B"/>
      <name val="Calibri"/>
      <family val="2"/>
    </font>
    <font>
      <b/>
      <sz val="9"/>
      <color rgb="FF1A5276"/>
      <name val="Calibri"/>
      <family val="2"/>
    </font>
    <font>
      <b/>
      <sz val="9"/>
      <color rgb="FF1E8449"/>
      <name val="Calibri"/>
      <family val="2"/>
    </font>
    <font>
      <b/>
      <sz val="10"/>
      <color rgb="FF1C2833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B3A6B"/>
        <bgColor rgb="FF1A5276"/>
      </patternFill>
    </fill>
    <fill>
      <patternFill patternType="solid">
        <fgColor rgb="FF0E8A7B"/>
        <bgColor rgb="FF1E8449"/>
      </patternFill>
    </fill>
    <fill>
      <patternFill patternType="solid">
        <fgColor rgb="FF1A5276"/>
        <bgColor rgb="FF1B3A6B"/>
      </patternFill>
    </fill>
    <fill>
      <patternFill patternType="solid">
        <fgColor rgb="FF6C3483"/>
        <bgColor rgb="FF8064A2"/>
      </patternFill>
    </fill>
    <fill>
      <patternFill patternType="solid">
        <fgColor rgb="FFFFFFFF"/>
        <bgColor rgb="FFF4F6F7"/>
      </patternFill>
    </fill>
    <fill>
      <patternFill patternType="solid">
        <fgColor rgb="FFEBF5FB"/>
        <bgColor rgb="FFF4F6F7"/>
      </patternFill>
    </fill>
    <fill>
      <patternFill patternType="solid">
        <fgColor rgb="FF1E8449"/>
        <bgColor rgb="FF0E8A7B"/>
      </patternFill>
    </fill>
    <fill>
      <patternFill patternType="solid">
        <fgColor rgb="FFC0392B"/>
        <bgColor rgb="FFC0504D"/>
      </patternFill>
    </fill>
    <fill>
      <patternFill patternType="solid">
        <fgColor rgb="FFD4690A"/>
        <bgColor rgb="FFC0504D"/>
      </patternFill>
    </fill>
    <fill>
      <patternFill patternType="solid">
        <fgColor rgb="FF566573"/>
        <bgColor rgb="FF8064A2"/>
      </patternFill>
    </fill>
    <fill>
      <patternFill patternType="solid">
        <fgColor rgb="FFF4F6F7"/>
        <bgColor rgb="FFEBF5FB"/>
      </patternFill>
    </fill>
    <fill>
      <patternFill patternType="solid">
        <fgColor rgb="FFFDEBD0"/>
        <bgColor rgb="FFFCE4EC"/>
      </patternFill>
    </fill>
    <fill>
      <patternFill patternType="solid">
        <fgColor rgb="FFFADBD8"/>
        <bgColor rgb="FFFCE4EC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B7950B"/>
        <bgColor rgb="FFD4690A"/>
      </patternFill>
    </fill>
    <fill>
      <patternFill patternType="solid">
        <fgColor rgb="FFFCE4EC"/>
        <bgColor rgb="FFFADBD8"/>
      </patternFill>
    </fill>
    <fill>
      <patternFill patternType="solid">
        <fgColor rgb="FFFFF9C4"/>
        <bgColor rgb="FFFDEBD0"/>
      </patternFill>
    </fill>
  </fills>
  <borders count="10">
    <border>
      <left/>
      <right/>
      <top/>
      <bottom/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0E8A7B"/>
      </left>
      <right style="thin">
        <color rgb="FF0E8A7B"/>
      </right>
      <top style="thin">
        <color rgb="FF0E8A7B"/>
      </top>
      <bottom style="thin">
        <color rgb="FF0E8A7B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rgb="FFD4690A"/>
      </left>
      <right style="thin">
        <color rgb="FFD4690A"/>
      </right>
      <top style="thin">
        <color rgb="FFD4690A"/>
      </top>
      <bottom style="thin">
        <color rgb="FFD4690A"/>
      </bottom>
      <diagonal/>
    </border>
    <border>
      <left style="thin">
        <color rgb="FF566573"/>
      </left>
      <right style="thin">
        <color rgb="FF566573"/>
      </right>
      <top style="thin">
        <color rgb="FF566573"/>
      </top>
      <bottom style="thin">
        <color rgb="FF566573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horizontal="left" vertical="center" wrapText="1"/>
    </xf>
    <xf numFmtId="0" fontId="17" fillId="12" borderId="9" xfId="0" applyFont="1" applyFill="1" applyBorder="1" applyAlignment="1">
      <alignment horizontal="left" vertical="center" wrapText="1"/>
    </xf>
    <xf numFmtId="0" fontId="18" fillId="13" borderId="9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left" vertical="center" wrapText="1"/>
    </xf>
    <xf numFmtId="0" fontId="17" fillId="6" borderId="9" xfId="0" applyFont="1" applyFill="1" applyBorder="1" applyAlignment="1">
      <alignment horizontal="left" vertical="center" wrapText="1"/>
    </xf>
    <xf numFmtId="0" fontId="19" fillId="14" borderId="9" xfId="0" applyFont="1" applyFill="1" applyBorder="1" applyAlignment="1">
      <alignment horizontal="center" vertical="center"/>
    </xf>
    <xf numFmtId="0" fontId="20" fillId="15" borderId="9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7" fillId="12" borderId="9" xfId="0" applyFont="1" applyFill="1" applyBorder="1" applyAlignment="1">
      <alignment horizontal="center" vertical="center"/>
    </xf>
    <xf numFmtId="3" fontId="17" fillId="12" borderId="9" xfId="0" applyNumberFormat="1" applyFont="1" applyFill="1" applyBorder="1" applyAlignment="1">
      <alignment horizontal="center" vertical="center"/>
    </xf>
    <xf numFmtId="164" fontId="17" fillId="16" borderId="9" xfId="0" applyNumberFormat="1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3" fontId="17" fillId="6" borderId="9" xfId="0" applyNumberFormat="1" applyFont="1" applyFill="1" applyBorder="1" applyAlignment="1">
      <alignment horizontal="center" vertical="center"/>
    </xf>
    <xf numFmtId="164" fontId="17" fillId="14" borderId="9" xfId="0" applyNumberFormat="1" applyFont="1" applyFill="1" applyBorder="1" applyAlignment="1">
      <alignment horizontal="center" vertical="center"/>
    </xf>
    <xf numFmtId="4" fontId="17" fillId="12" borderId="9" xfId="0" applyNumberFormat="1" applyFont="1" applyFill="1" applyBorder="1" applyAlignment="1">
      <alignment horizontal="center" vertical="center"/>
    </xf>
    <xf numFmtId="164" fontId="21" fillId="16" borderId="9" xfId="0" applyNumberFormat="1" applyFont="1" applyFill="1" applyBorder="1" applyAlignment="1">
      <alignment horizontal="center" vertical="center"/>
    </xf>
    <xf numFmtId="4" fontId="17" fillId="6" borderId="9" xfId="0" applyNumberFormat="1" applyFont="1" applyFill="1" applyBorder="1" applyAlignment="1">
      <alignment horizontal="center" vertical="center"/>
    </xf>
    <xf numFmtId="164" fontId="19" fillId="14" borderId="9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3" fontId="15" fillId="2" borderId="9" xfId="0" applyNumberFormat="1" applyFont="1" applyFill="1" applyBorder="1" applyAlignment="1">
      <alignment horizontal="center" vertical="center"/>
    </xf>
    <xf numFmtId="4" fontId="15" fillId="2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2" fontId="17" fillId="13" borderId="9" xfId="0" applyNumberFormat="1" applyFont="1" applyFill="1" applyBorder="1" applyAlignment="1">
      <alignment horizontal="center" vertical="center"/>
    </xf>
    <xf numFmtId="2" fontId="17" fillId="12" borderId="9" xfId="0" applyNumberFormat="1" applyFont="1" applyFill="1" applyBorder="1" applyAlignment="1">
      <alignment horizontal="center" vertical="center"/>
    </xf>
    <xf numFmtId="2" fontId="17" fillId="6" borderId="9" xfId="0" applyNumberFormat="1" applyFont="1" applyFill="1" applyBorder="1" applyAlignment="1">
      <alignment horizontal="center" vertical="center"/>
    </xf>
    <xf numFmtId="2" fontId="17" fillId="16" borderId="9" xfId="0" applyNumberFormat="1" applyFont="1" applyFill="1" applyBorder="1" applyAlignment="1">
      <alignment horizontal="center" vertical="center"/>
    </xf>
    <xf numFmtId="2" fontId="17" fillId="14" borderId="9" xfId="0" applyNumberFormat="1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164" fontId="17" fillId="12" borderId="9" xfId="0" applyNumberFormat="1" applyFont="1" applyFill="1" applyBorder="1" applyAlignment="1">
      <alignment horizontal="center" vertical="center"/>
    </xf>
    <xf numFmtId="164" fontId="17" fillId="6" borderId="9" xfId="0" applyNumberFormat="1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7" fillId="16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6" fillId="17" borderId="9" xfId="0" applyFont="1" applyFill="1" applyBorder="1" applyAlignment="1">
      <alignment horizontal="center" vertical="center"/>
    </xf>
    <xf numFmtId="0" fontId="16" fillId="14" borderId="9" xfId="0" applyFont="1" applyFill="1" applyBorder="1" applyAlignment="1">
      <alignment horizontal="center" vertical="center"/>
    </xf>
    <xf numFmtId="0" fontId="17" fillId="18" borderId="9" xfId="0" applyFont="1" applyFill="1" applyBorder="1" applyAlignment="1">
      <alignment horizontal="center" vertical="center"/>
    </xf>
    <xf numFmtId="0" fontId="16" fillId="18" borderId="9" xfId="0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0" fontId="16" fillId="19" borderId="9" xfId="0" applyFont="1" applyFill="1" applyBorder="1" applyAlignment="1">
      <alignment horizontal="center" vertical="center"/>
    </xf>
    <xf numFmtId="0" fontId="17" fillId="15" borderId="9" xfId="0" applyFont="1" applyFill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7" fillId="16" borderId="9" xfId="0" applyFont="1" applyFill="1" applyBorder="1" applyAlignment="1">
      <alignment horizontal="center" vertical="center" wrapText="1"/>
    </xf>
    <xf numFmtId="0" fontId="16" fillId="16" borderId="9" xfId="0" applyFont="1" applyFill="1" applyBorder="1" applyAlignment="1">
      <alignment horizontal="center" vertical="center" wrapText="1"/>
    </xf>
    <xf numFmtId="0" fontId="17" fillId="14" borderId="9" xfId="0" applyFont="1" applyFill="1" applyBorder="1" applyAlignment="1">
      <alignment horizontal="center" vertical="center" wrapText="1"/>
    </xf>
    <xf numFmtId="0" fontId="16" fillId="14" borderId="9" xfId="0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horizontal="left" vertical="center" wrapText="1"/>
    </xf>
    <xf numFmtId="0" fontId="17" fillId="16" borderId="9" xfId="0" applyFont="1" applyFill="1" applyBorder="1" applyAlignment="1">
      <alignment horizontal="left" vertical="center" wrapText="1"/>
    </xf>
    <xf numFmtId="0" fontId="16" fillId="13" borderId="9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left" vertical="center" wrapText="1"/>
    </xf>
    <xf numFmtId="0" fontId="17" fillId="14" borderId="9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22" fillId="17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10" fontId="11" fillId="6" borderId="6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10" fontId="12" fillId="6" borderId="7" xfId="0" applyNumberFormat="1" applyFont="1" applyFill="1" applyBorder="1" applyAlignment="1">
      <alignment horizontal="center" vertical="center"/>
    </xf>
    <xf numFmtId="10" fontId="13" fillId="6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E8A7B"/>
      <rgbColor rgb="FFD9D9D9"/>
      <rgbColor rgb="FF878787"/>
      <rgbColor rgb="FF9999FF"/>
      <rgbColor rgb="FF6C3483"/>
      <rgbColor rgb="FFFFF9C4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566573"/>
      <rgbColor rgb="FF0000FF"/>
      <rgbColor rgb="FF00CCFF"/>
      <rgbColor rgb="FFEBF5FB"/>
      <rgbColor rgb="FFD5F5E3"/>
      <rgbColor rgb="FFFDEBD0"/>
      <rgbColor rgb="FFABEBC6"/>
      <rgbColor rgb="FFFCE4EC"/>
      <rgbColor rgb="FFF4F6F7"/>
      <rgbColor rgb="FFFADBD8"/>
      <rgbColor rgb="FF4F81BD"/>
      <rgbColor rgb="FF4BACC6"/>
      <rgbColor rgb="FF9BBB59"/>
      <rgbColor rgb="FFFFCC00"/>
      <rgbColor rgb="FFFF9900"/>
      <rgbColor rgb="FFD4690A"/>
      <rgbColor rgb="FF8064A2"/>
      <rgbColor rgb="FF969696"/>
      <rgbColor rgb="FF1B3A6B"/>
      <rgbColor rgb="FF1E8449"/>
      <rgbColor rgb="FF003300"/>
      <rgbColor rgb="FF333300"/>
      <rgbColor rgb="FFC0392B"/>
      <rgbColor rgb="FFC0504D"/>
      <rgbColor rgb="FF1A5276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Quarterly Revenue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Summary'!$D$23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0E8A7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Summary'!$B$24:$B$30</c:f>
              <c:strCache>
                <c:ptCount val="7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</c:strCache>
            </c:strRef>
          </c:cat>
          <c:val>
            <c:numRef>
              <c:f>'Executive Summary'!$D$24:$D$30</c:f>
              <c:numCache>
                <c:formatCode>#,##0</c:formatCode>
                <c:ptCount val="7"/>
                <c:pt idx="0">
                  <c:v>705221</c:v>
                </c:pt>
                <c:pt idx="1">
                  <c:v>1251931</c:v>
                </c:pt>
                <c:pt idx="2">
                  <c:v>1643704</c:v>
                </c:pt>
                <c:pt idx="3">
                  <c:v>2362046</c:v>
                </c:pt>
                <c:pt idx="4">
                  <c:v>2704438</c:v>
                </c:pt>
                <c:pt idx="5">
                  <c:v>2807157</c:v>
                </c:pt>
                <c:pt idx="6">
                  <c:v>1706530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B-894E-80DA-B0E1927A2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1813"/>
        <c:axId val="9290952"/>
      </c:barChart>
      <c:catAx>
        <c:axId val="212718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90952"/>
        <c:crosses val="autoZero"/>
        <c:auto val="1"/>
        <c:lblAlgn val="ctr"/>
        <c:lblOffset val="100"/>
        <c:noMultiLvlLbl val="0"/>
      </c:catAx>
      <c:valAx>
        <c:axId val="9290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Revenue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1271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Monthly Revenue (R$) — Delivered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&amp; Growth'!$D$4</c:f>
              <c:strCache>
                <c:ptCount val="1"/>
                <c:pt idx="0">
                  <c:v>Revenue (R$)</c:v>
                </c:pt>
              </c:strCache>
            </c:strRef>
          </c:tx>
          <c:spPr>
            <a:ln w="28080">
              <a:solidFill>
                <a:srgbClr val="0E8A7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&amp; Growth'!$B$5:$B$24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'Revenue &amp; Growth'!$D$5:$D$24</c:f>
              <c:numCache>
                <c:formatCode>#,##0</c:formatCode>
                <c:ptCount val="20"/>
                <c:pt idx="0">
                  <c:v>111798</c:v>
                </c:pt>
                <c:pt idx="1">
                  <c:v>234223</c:v>
                </c:pt>
                <c:pt idx="2">
                  <c:v>359199</c:v>
                </c:pt>
                <c:pt idx="3">
                  <c:v>340670</c:v>
                </c:pt>
                <c:pt idx="4">
                  <c:v>489338</c:v>
                </c:pt>
                <c:pt idx="5">
                  <c:v>421923</c:v>
                </c:pt>
                <c:pt idx="6">
                  <c:v>481605</c:v>
                </c:pt>
                <c:pt idx="7">
                  <c:v>554700</c:v>
                </c:pt>
                <c:pt idx="8">
                  <c:v>607400</c:v>
                </c:pt>
                <c:pt idx="9">
                  <c:v>648248</c:v>
                </c:pt>
                <c:pt idx="10">
                  <c:v>987765</c:v>
                </c:pt>
                <c:pt idx="11">
                  <c:v>726033</c:v>
                </c:pt>
                <c:pt idx="12">
                  <c:v>924645</c:v>
                </c:pt>
                <c:pt idx="13">
                  <c:v>826437</c:v>
                </c:pt>
                <c:pt idx="14">
                  <c:v>953356</c:v>
                </c:pt>
                <c:pt idx="15">
                  <c:v>973534</c:v>
                </c:pt>
                <c:pt idx="16">
                  <c:v>977545</c:v>
                </c:pt>
                <c:pt idx="17">
                  <c:v>856078</c:v>
                </c:pt>
                <c:pt idx="18">
                  <c:v>867953</c:v>
                </c:pt>
                <c:pt idx="19">
                  <c:v>838577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CA-B44D-9D34-938A0116A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256725"/>
        <c:axId val="39155609"/>
      </c:lineChart>
      <c:catAx>
        <c:axId val="432567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9155609"/>
        <c:crosses val="autoZero"/>
        <c:auto val="1"/>
        <c:lblAlgn val="ctr"/>
        <c:lblOffset val="100"/>
        <c:noMultiLvlLbl val="0"/>
      </c:catAx>
      <c:valAx>
        <c:axId val="39155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Revenue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32567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Monthly Order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&amp; Growth'!$C$4</c:f>
              <c:strCache>
                <c:ptCount val="1"/>
                <c:pt idx="0">
                  <c:v>Delivered Orders</c:v>
                </c:pt>
              </c:strCache>
            </c:strRef>
          </c:tx>
          <c:spPr>
            <a:solidFill>
              <a:srgbClr val="1B3A6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&amp; Growth'!$B$5:$B$24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'Revenue &amp; Growth'!$C$5:$C$24</c:f>
              <c:numCache>
                <c:formatCode>#,##0</c:formatCode>
                <c:ptCount val="20"/>
                <c:pt idx="0">
                  <c:v>750</c:v>
                </c:pt>
                <c:pt idx="1">
                  <c:v>1653</c:v>
                </c:pt>
                <c:pt idx="2">
                  <c:v>2546</c:v>
                </c:pt>
                <c:pt idx="3">
                  <c:v>2303</c:v>
                </c:pt>
                <c:pt idx="4">
                  <c:v>3546</c:v>
                </c:pt>
                <c:pt idx="5">
                  <c:v>3135</c:v>
                </c:pt>
                <c:pt idx="6">
                  <c:v>3872</c:v>
                </c:pt>
                <c:pt idx="7">
                  <c:v>4193</c:v>
                </c:pt>
                <c:pt idx="8">
                  <c:v>4150</c:v>
                </c:pt>
                <c:pt idx="9">
                  <c:v>4478</c:v>
                </c:pt>
                <c:pt idx="10">
                  <c:v>7289</c:v>
                </c:pt>
                <c:pt idx="11">
                  <c:v>5513</c:v>
                </c:pt>
                <c:pt idx="12">
                  <c:v>7069</c:v>
                </c:pt>
                <c:pt idx="13">
                  <c:v>6555</c:v>
                </c:pt>
                <c:pt idx="14">
                  <c:v>7003</c:v>
                </c:pt>
                <c:pt idx="15">
                  <c:v>6798</c:v>
                </c:pt>
                <c:pt idx="16">
                  <c:v>6749</c:v>
                </c:pt>
                <c:pt idx="17">
                  <c:v>6099</c:v>
                </c:pt>
                <c:pt idx="18">
                  <c:v>6159</c:v>
                </c:pt>
                <c:pt idx="19">
                  <c:v>6351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4-8C46-8FB9-28B7A5EDA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31699"/>
        <c:axId val="21435902"/>
      </c:barChart>
      <c:catAx>
        <c:axId val="518316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1435902"/>
        <c:crosses val="autoZero"/>
        <c:auto val="1"/>
        <c:lblAlgn val="ctr"/>
        <c:lblOffset val="100"/>
        <c:noMultiLvlLbl val="0"/>
      </c:catAx>
      <c:valAx>
        <c:axId val="214359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#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18316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Top 15 Categories — Revenue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Categories'!$C$4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D4690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Categories'!$B$5:$B$19</c:f>
              <c:strCache>
                <c:ptCount val="15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  <c:pt idx="10">
                  <c:v>garden_tools</c:v>
                </c:pt>
                <c:pt idx="11">
                  <c:v>baby</c:v>
                </c:pt>
                <c:pt idx="12">
                  <c:v>perfumery</c:v>
                </c:pt>
                <c:pt idx="13">
                  <c:v>telephony</c:v>
                </c:pt>
                <c:pt idx="14">
                  <c:v>office_furniture</c:v>
                </c:pt>
              </c:strCache>
            </c:strRef>
          </c:cat>
          <c:val>
            <c:numRef>
              <c:f>'Product Categories'!$C$5:$C$19</c:f>
              <c:numCache>
                <c:formatCode>#,##0</c:formatCode>
                <c:ptCount val="15"/>
                <c:pt idx="0">
                  <c:v>1233132</c:v>
                </c:pt>
                <c:pt idx="1">
                  <c:v>1166177</c:v>
                </c:pt>
                <c:pt idx="2">
                  <c:v>1023435</c:v>
                </c:pt>
                <c:pt idx="3">
                  <c:v>954853</c:v>
                </c:pt>
                <c:pt idx="4">
                  <c:v>888725</c:v>
                </c:pt>
                <c:pt idx="5">
                  <c:v>711928</c:v>
                </c:pt>
                <c:pt idx="6">
                  <c:v>615629</c:v>
                </c:pt>
                <c:pt idx="7">
                  <c:v>610204</c:v>
                </c:pt>
                <c:pt idx="8">
                  <c:v>578967</c:v>
                </c:pt>
                <c:pt idx="9">
                  <c:v>471286</c:v>
                </c:pt>
                <c:pt idx="10">
                  <c:v>470495</c:v>
                </c:pt>
                <c:pt idx="11">
                  <c:v>400422</c:v>
                </c:pt>
                <c:pt idx="12">
                  <c:v>390145</c:v>
                </c:pt>
                <c:pt idx="13">
                  <c:v>309860</c:v>
                </c:pt>
                <c:pt idx="14">
                  <c:v>268154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5-6645-AC6B-DFFDFF7EF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079638"/>
        <c:axId val="67512409"/>
      </c:barChart>
      <c:catAx>
        <c:axId val="5707963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7512409"/>
        <c:crosses val="autoZero"/>
        <c:auto val="1"/>
        <c:lblAlgn val="ctr"/>
        <c:lblOffset val="100"/>
        <c:noMultiLvlLbl val="0"/>
      </c:catAx>
      <c:valAx>
        <c:axId val="675124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70796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Top 15 States by Order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Geography!$C$4</c:f>
              <c:strCache>
                <c:ptCount val="1"/>
                <c:pt idx="0">
                  <c:v># Orders</c:v>
                </c:pt>
              </c:strCache>
            </c:strRef>
          </c:tx>
          <c:spPr>
            <a:solidFill>
              <a:srgbClr val="6C348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Geography!$B$5:$B$19</c:f>
              <c:strCache>
                <c:ptCount val="15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  <c:pt idx="10">
                  <c:v>PE</c:v>
                </c:pt>
                <c:pt idx="11">
                  <c:v>CE</c:v>
                </c:pt>
                <c:pt idx="12">
                  <c:v>PA</c:v>
                </c:pt>
                <c:pt idx="13">
                  <c:v>MT</c:v>
                </c:pt>
                <c:pt idx="14">
                  <c:v>MA</c:v>
                </c:pt>
              </c:strCache>
            </c:strRef>
          </c:cat>
          <c:val>
            <c:numRef>
              <c:f>Geography!$C$5:$C$19</c:f>
              <c:numCache>
                <c:formatCode>#,##0</c:formatCode>
                <c:ptCount val="15"/>
                <c:pt idx="0">
                  <c:v>40501</c:v>
                </c:pt>
                <c:pt idx="1">
                  <c:v>12350</c:v>
                </c:pt>
                <c:pt idx="2">
                  <c:v>11354</c:v>
                </c:pt>
                <c:pt idx="3">
                  <c:v>5345</c:v>
                </c:pt>
                <c:pt idx="4">
                  <c:v>4923</c:v>
                </c:pt>
                <c:pt idx="5">
                  <c:v>3546</c:v>
                </c:pt>
                <c:pt idx="6">
                  <c:v>3256</c:v>
                </c:pt>
                <c:pt idx="7">
                  <c:v>2080</c:v>
                </c:pt>
                <c:pt idx="8">
                  <c:v>1995</c:v>
                </c:pt>
                <c:pt idx="9">
                  <c:v>1957</c:v>
                </c:pt>
                <c:pt idx="10">
                  <c:v>1593</c:v>
                </c:pt>
                <c:pt idx="11">
                  <c:v>1279</c:v>
                </c:pt>
                <c:pt idx="12">
                  <c:v>946</c:v>
                </c:pt>
                <c:pt idx="13">
                  <c:v>886</c:v>
                </c:pt>
                <c:pt idx="14">
                  <c:v>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E-2C42-894F-FA6ABB420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93031"/>
        <c:axId val="47159452"/>
      </c:barChart>
      <c:catAx>
        <c:axId val="19193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7159452"/>
        <c:crosses val="autoZero"/>
        <c:auto val="1"/>
        <c:lblAlgn val="ctr"/>
        <c:lblOffset val="100"/>
        <c:noMultiLvlLbl val="0"/>
      </c:catAx>
      <c:valAx>
        <c:axId val="471594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91930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Avg Delivery Time per Month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'Delivery Performance'!$C$35</c:f>
              <c:strCache>
                <c:ptCount val="1"/>
                <c:pt idx="0">
                  <c:v>Avg Delivery Days</c:v>
                </c:pt>
              </c:strCache>
            </c:strRef>
          </c:tx>
          <c:spPr>
            <a:ln w="24840">
              <a:solidFill>
                <a:srgbClr val="1A527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Performance'!$B$36:$B$55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'Delivery Performance'!$C$36:$C$55</c:f>
              <c:numCache>
                <c:formatCode>General</c:formatCode>
                <c:ptCount val="20"/>
                <c:pt idx="0">
                  <c:v>12.1</c:v>
                </c:pt>
                <c:pt idx="1">
                  <c:v>12.6</c:v>
                </c:pt>
                <c:pt idx="2">
                  <c:v>12.4</c:v>
                </c:pt>
                <c:pt idx="3">
                  <c:v>14.3</c:v>
                </c:pt>
                <c:pt idx="4">
                  <c:v>10.9</c:v>
                </c:pt>
                <c:pt idx="5">
                  <c:v>11.5</c:v>
                </c:pt>
                <c:pt idx="6">
                  <c:v>11</c:v>
                </c:pt>
                <c:pt idx="7">
                  <c:v>10.5</c:v>
                </c:pt>
                <c:pt idx="8">
                  <c:v>11.4</c:v>
                </c:pt>
                <c:pt idx="9">
                  <c:v>11.3</c:v>
                </c:pt>
                <c:pt idx="10">
                  <c:v>14.6</c:v>
                </c:pt>
                <c:pt idx="11">
                  <c:v>14.8</c:v>
                </c:pt>
                <c:pt idx="12">
                  <c:v>13.7</c:v>
                </c:pt>
                <c:pt idx="13">
                  <c:v>16.5</c:v>
                </c:pt>
                <c:pt idx="14">
                  <c:v>15.6</c:v>
                </c:pt>
                <c:pt idx="15">
                  <c:v>10.9</c:v>
                </c:pt>
                <c:pt idx="16">
                  <c:v>10.9</c:v>
                </c:pt>
                <c:pt idx="17">
                  <c:v>8.6</c:v>
                </c:pt>
                <c:pt idx="18">
                  <c:v>8.4</c:v>
                </c:pt>
                <c:pt idx="19">
                  <c:v>7.3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5-6045-970F-48CCCCC6A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664922"/>
        <c:axId val="29365471"/>
      </c:lineChart>
      <c:catAx>
        <c:axId val="116649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9365471"/>
        <c:crosses val="autoZero"/>
        <c:auto val="1"/>
        <c:lblAlgn val="ctr"/>
        <c:lblOffset val="100"/>
        <c:noMultiLvlLbl val="0"/>
      </c:catAx>
      <c:valAx>
        <c:axId val="29365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Avg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16649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Delivery Time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Performance'!$C$58</c:f>
              <c:strCache>
                <c:ptCount val="1"/>
                <c:pt idx="0">
                  <c:v># Orders</c:v>
                </c:pt>
              </c:strCache>
            </c:strRef>
          </c:tx>
          <c:spPr>
            <a:solidFill>
              <a:srgbClr val="1A527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'Delivery Performance'!$B$59:$B$94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cat>
          <c:val>
            <c:numRef>
              <c:f>'Delivery Performance'!$C$59:$C$94</c:f>
              <c:numCache>
                <c:formatCode>General</c:formatCode>
                <c:ptCount val="36"/>
                <c:pt idx="0">
                  <c:v>18</c:v>
                </c:pt>
                <c:pt idx="1">
                  <c:v>1828</c:v>
                </c:pt>
                <c:pt idx="2">
                  <c:v>3683</c:v>
                </c:pt>
                <c:pt idx="3">
                  <c:v>4420</c:v>
                </c:pt>
                <c:pt idx="4">
                  <c:v>5601</c:v>
                </c:pt>
                <c:pt idx="5">
                  <c:v>6655</c:v>
                </c:pt>
                <c:pt idx="6">
                  <c:v>7763</c:v>
                </c:pt>
                <c:pt idx="7">
                  <c:v>8752</c:v>
                </c:pt>
                <c:pt idx="8">
                  <c:v>7720</c:v>
                </c:pt>
                <c:pt idx="9">
                  <c:v>6884</c:v>
                </c:pt>
                <c:pt idx="10">
                  <c:v>6510</c:v>
                </c:pt>
                <c:pt idx="11">
                  <c:v>5881</c:v>
                </c:pt>
                <c:pt idx="12">
                  <c:v>5345</c:v>
                </c:pt>
                <c:pt idx="13">
                  <c:v>4971</c:v>
                </c:pt>
                <c:pt idx="14">
                  <c:v>4405</c:v>
                </c:pt>
                <c:pt idx="15">
                  <c:v>3623</c:v>
                </c:pt>
                <c:pt idx="16">
                  <c:v>2971</c:v>
                </c:pt>
                <c:pt idx="17">
                  <c:v>2683</c:v>
                </c:pt>
                <c:pt idx="18">
                  <c:v>2477</c:v>
                </c:pt>
                <c:pt idx="19">
                  <c:v>2095</c:v>
                </c:pt>
                <c:pt idx="20">
                  <c:v>1937</c:v>
                </c:pt>
                <c:pt idx="21">
                  <c:v>1693</c:v>
                </c:pt>
                <c:pt idx="22">
                  <c:v>1380</c:v>
                </c:pt>
                <c:pt idx="23">
                  <c:v>1191</c:v>
                </c:pt>
                <c:pt idx="24">
                  <c:v>1053</c:v>
                </c:pt>
                <c:pt idx="25">
                  <c:v>918</c:v>
                </c:pt>
                <c:pt idx="26">
                  <c:v>788</c:v>
                </c:pt>
                <c:pt idx="27">
                  <c:v>732</c:v>
                </c:pt>
                <c:pt idx="28">
                  <c:v>655</c:v>
                </c:pt>
                <c:pt idx="29">
                  <c:v>518</c:v>
                </c:pt>
                <c:pt idx="30">
                  <c:v>481</c:v>
                </c:pt>
                <c:pt idx="31">
                  <c:v>399</c:v>
                </c:pt>
                <c:pt idx="32">
                  <c:v>376</c:v>
                </c:pt>
                <c:pt idx="33">
                  <c:v>354</c:v>
                </c:pt>
                <c:pt idx="34">
                  <c:v>319</c:v>
                </c:pt>
                <c:pt idx="35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3-BA43-89EB-01F34EE8E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15745"/>
        <c:axId val="85198429"/>
      </c:barChart>
      <c:catAx>
        <c:axId val="788157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5198429"/>
        <c:crosses val="autoZero"/>
        <c:auto val="1"/>
        <c:lblAlgn val="ctr"/>
        <c:lblOffset val="100"/>
        <c:noMultiLvlLbl val="0"/>
      </c:catAx>
      <c:valAx>
        <c:axId val="85198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#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8815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'Payments &amp; AOV'!$C$4</c:f>
              <c:strCache>
                <c:ptCount val="1"/>
                <c:pt idx="0">
                  <c:v>Total Value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FB2-514C-B768-E2E0BE07ABE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FB2-514C-B768-E2E0BE07ABE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FB2-514C-B768-E2E0BE07ABE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FB2-514C-B768-E2E0BE07ABE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B2-514C-B768-E2E0BE07ABE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B2-514C-B768-E2E0BE07ABE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B2-514C-B768-E2E0BE07ABE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B2-514C-B768-E2E0BE07A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'Payments &amp; AOV'!$B$5:$B$8</c:f>
              <c:strCache>
                <c:ptCount val="4"/>
                <c:pt idx="0">
                  <c:v>Boleto</c:v>
                </c:pt>
                <c:pt idx="1">
                  <c:v>Credit Card</c:v>
                </c:pt>
                <c:pt idx="2">
                  <c:v>Debit Card</c:v>
                </c:pt>
                <c:pt idx="3">
                  <c:v>Voucher</c:v>
                </c:pt>
              </c:strCache>
            </c:strRef>
          </c:cat>
          <c:val>
            <c:numRef>
              <c:f>'Payments &amp; AOV'!$C$5:$C$8</c:f>
              <c:numCache>
                <c:formatCode>#,##0</c:formatCode>
                <c:ptCount val="4"/>
                <c:pt idx="0">
                  <c:v>2869361</c:v>
                </c:pt>
                <c:pt idx="1">
                  <c:v>12542084</c:v>
                </c:pt>
                <c:pt idx="2">
                  <c:v>217990</c:v>
                </c:pt>
                <c:pt idx="3">
                  <c:v>379437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B2-514C-B768-E2E0BE07A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Avg Order Value by # Installments (Credit Card)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'Payments &amp; AOV'!$D$11</c:f>
              <c:strCache>
                <c:ptCount val="1"/>
                <c:pt idx="0">
                  <c:v>Avg Order Value (R$)</c:v>
                </c:pt>
              </c:strCache>
            </c:strRef>
          </c:tx>
          <c:spPr>
            <a:ln w="2484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'Payments &amp; AOV'!$B$12:$B$24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'Payments &amp; AOV'!$D$12:$D$24</c:f>
              <c:numCache>
                <c:formatCode>#,##0.00</c:formatCode>
                <c:ptCount val="13"/>
                <c:pt idx="0">
                  <c:v>94.31</c:v>
                </c:pt>
                <c:pt idx="1">
                  <c:v>95.87</c:v>
                </c:pt>
                <c:pt idx="2">
                  <c:v>127.23</c:v>
                </c:pt>
                <c:pt idx="3">
                  <c:v>142.54</c:v>
                </c:pt>
                <c:pt idx="4">
                  <c:v>163.98</c:v>
                </c:pt>
                <c:pt idx="5">
                  <c:v>183.47</c:v>
                </c:pt>
                <c:pt idx="6">
                  <c:v>209.85</c:v>
                </c:pt>
                <c:pt idx="7">
                  <c:v>187.67</c:v>
                </c:pt>
                <c:pt idx="8">
                  <c:v>307.74</c:v>
                </c:pt>
                <c:pt idx="9">
                  <c:v>203.44</c:v>
                </c:pt>
                <c:pt idx="10">
                  <c:v>415.09</c:v>
                </c:pt>
                <c:pt idx="11">
                  <c:v>124.93</c:v>
                </c:pt>
                <c:pt idx="12">
                  <c:v>321.68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7D-EA4B-B0D0-73F44061B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691096"/>
        <c:axId val="6500939"/>
      </c:lineChart>
      <c:catAx>
        <c:axId val="43691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# Installments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500939"/>
        <c:crosses val="autoZero"/>
        <c:auto val="1"/>
        <c:lblAlgn val="ctr"/>
        <c:lblOffset val="100"/>
        <c:noMultiLvlLbl val="0"/>
      </c:catAx>
      <c:valAx>
        <c:axId val="6500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Avg Value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3691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Review Score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Reviews'!$C$4</c:f>
              <c:strCache>
                <c:ptCount val="1"/>
                <c:pt idx="0">
                  <c:v># Reviews</c:v>
                </c:pt>
              </c:strCache>
            </c:strRef>
          </c:tx>
          <c:spPr>
            <a:solidFill>
              <a:srgbClr val="0E8A7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'Customer Reviews'!$B$5:$B$9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'Customer Reviews'!$C$5:$C$9</c:f>
              <c:numCache>
                <c:formatCode>General</c:formatCode>
                <c:ptCount val="5"/>
                <c:pt idx="0">
                  <c:v>11424</c:v>
                </c:pt>
                <c:pt idx="1">
                  <c:v>3151</c:v>
                </c:pt>
                <c:pt idx="2">
                  <c:v>8179</c:v>
                </c:pt>
                <c:pt idx="3">
                  <c:v>19142</c:v>
                </c:pt>
                <c:pt idx="4">
                  <c:v>57328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4-0D4F-8DA1-269367E8F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07941"/>
        <c:axId val="5364793"/>
      </c:barChart>
      <c:catAx>
        <c:axId val="28207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364793"/>
        <c:crosses val="autoZero"/>
        <c:auto val="1"/>
        <c:lblAlgn val="ctr"/>
        <c:lblOffset val="100"/>
        <c:noMultiLvlLbl val="0"/>
      </c:catAx>
      <c:valAx>
        <c:axId val="5364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82079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20 Lowest Rated Categories (avg ★)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Reviews'!$C$17</c:f>
              <c:strCache>
                <c:ptCount val="1"/>
                <c:pt idx="0">
                  <c:v>Avg Review ★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Reviews'!$B$18:$B$37</c:f>
              <c:strCache>
                <c:ptCount val="20"/>
                <c:pt idx="0">
                  <c:v>office_furniture</c:v>
                </c:pt>
                <c:pt idx="1">
                  <c:v>fixed_telephony</c:v>
                </c:pt>
                <c:pt idx="2">
                  <c:v>fashion_male_clothing</c:v>
                </c:pt>
                <c:pt idx="3">
                  <c:v>audio</c:v>
                </c:pt>
                <c:pt idx="4">
                  <c:v>home_confort</c:v>
                </c:pt>
                <c:pt idx="5">
                  <c:v>bed_bath_table</c:v>
                </c:pt>
                <c:pt idx="6">
                  <c:v>furniture_living_room</c:v>
                </c:pt>
                <c:pt idx="7">
                  <c:v>furniture_decor</c:v>
                </c:pt>
                <c:pt idx="8">
                  <c:v>home_construction</c:v>
                </c:pt>
                <c:pt idx="9">
                  <c:v>construction_tools_safety</c:v>
                </c:pt>
                <c:pt idx="10">
                  <c:v>computers_accessories</c:v>
                </c:pt>
                <c:pt idx="11">
                  <c:v>telephony</c:v>
                </c:pt>
                <c:pt idx="12">
                  <c:v>kitchen_dining_laundry_garden_furniture</c:v>
                </c:pt>
                <c:pt idx="13">
                  <c:v>fashion_underwear_beach</c:v>
                </c:pt>
                <c:pt idx="14">
                  <c:v>air_conditioning</c:v>
                </c:pt>
                <c:pt idx="15">
                  <c:v>electronics</c:v>
                </c:pt>
                <c:pt idx="16">
                  <c:v>christmas_supplies</c:v>
                </c:pt>
                <c:pt idx="17">
                  <c:v>watches_gifts</c:v>
                </c:pt>
                <c:pt idx="18">
                  <c:v>market_place</c:v>
                </c:pt>
                <c:pt idx="19">
                  <c:v>baby</c:v>
                </c:pt>
              </c:strCache>
            </c:strRef>
          </c:cat>
          <c:val>
            <c:numRef>
              <c:f>'Customer Reviews'!$C$18:$C$37</c:f>
              <c:numCache>
                <c:formatCode>General</c:formatCode>
                <c:ptCount val="20"/>
                <c:pt idx="0">
                  <c:v>3.52</c:v>
                </c:pt>
                <c:pt idx="1">
                  <c:v>3.76</c:v>
                </c:pt>
                <c:pt idx="2">
                  <c:v>3.76</c:v>
                </c:pt>
                <c:pt idx="3">
                  <c:v>3.84</c:v>
                </c:pt>
                <c:pt idx="4">
                  <c:v>3.86</c:v>
                </c:pt>
                <c:pt idx="5">
                  <c:v>3.92</c:v>
                </c:pt>
                <c:pt idx="6">
                  <c:v>3.93</c:v>
                </c:pt>
                <c:pt idx="7">
                  <c:v>3.96</c:v>
                </c:pt>
                <c:pt idx="8">
                  <c:v>3.96</c:v>
                </c:pt>
                <c:pt idx="9">
                  <c:v>3.97</c:v>
                </c:pt>
                <c:pt idx="10">
                  <c:v>3.99</c:v>
                </c:pt>
                <c:pt idx="11">
                  <c:v>3.99</c:v>
                </c:pt>
                <c:pt idx="12">
                  <c:v>4.03</c:v>
                </c:pt>
                <c:pt idx="13">
                  <c:v>4.05</c:v>
                </c:pt>
                <c:pt idx="14">
                  <c:v>4.05</c:v>
                </c:pt>
                <c:pt idx="15">
                  <c:v>4.07</c:v>
                </c:pt>
                <c:pt idx="16">
                  <c:v>4.07</c:v>
                </c:pt>
                <c:pt idx="17">
                  <c:v>4.07</c:v>
                </c:pt>
                <c:pt idx="18">
                  <c:v>4.07</c:v>
                </c:pt>
                <c:pt idx="19">
                  <c:v>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6-4F4C-A56A-4EDD214B7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46518"/>
        <c:axId val="66678151"/>
      </c:barChart>
      <c:catAx>
        <c:axId val="6944651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6678151"/>
        <c:crosses val="autoZero"/>
        <c:auto val="1"/>
        <c:lblAlgn val="ctr"/>
        <c:lblOffset val="100"/>
        <c:noMultiLvlLbl val="0"/>
      </c:catAx>
      <c:valAx>
        <c:axId val="666781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9446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Customer Distribution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'RFM Segmentation'!$C$4</c:f>
              <c:strCache>
                <c:ptCount val="1"/>
                <c:pt idx="0">
                  <c:v># 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3DD-B54F-BC5C-91A8E1A9139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3DD-B54F-BC5C-91A8E1A9139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3DD-B54F-BC5C-91A8E1A9139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3DD-B54F-BC5C-91A8E1A9139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3DD-B54F-BC5C-91A8E1A9139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DD-B54F-BC5C-91A8E1A9139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DD-B54F-BC5C-91A8E1A9139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DD-B54F-BC5C-91A8E1A9139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DD-B54F-BC5C-91A8E1A9139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3DD-B54F-BC5C-91A8E1A91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'RFM Segmentation'!$B$5:$B$9</c:f>
              <c:strCache>
                <c:ptCount val="5"/>
                <c:pt idx="0">
                  <c:v>Potential Loyalists</c:v>
                </c:pt>
                <c:pt idx="1">
                  <c:v>Loyal Customers</c:v>
                </c:pt>
                <c:pt idx="2">
                  <c:v>Champions</c:v>
                </c:pt>
                <c:pt idx="3">
                  <c:v>At Risk</c:v>
                </c:pt>
                <c:pt idx="4">
                  <c:v>Lost</c:v>
                </c:pt>
              </c:strCache>
            </c:strRef>
          </c:cat>
          <c:val>
            <c:numRef>
              <c:f>'RFM Segmentation'!$C$5:$C$9</c:f>
              <c:numCache>
                <c:formatCode>General</c:formatCode>
                <c:ptCount val="5"/>
                <c:pt idx="0">
                  <c:v>32023</c:v>
                </c:pt>
                <c:pt idx="1">
                  <c:v>31304</c:v>
                </c:pt>
                <c:pt idx="2">
                  <c:v>15098</c:v>
                </c:pt>
                <c:pt idx="3">
                  <c:v>13431</c:v>
                </c:pt>
                <c:pt idx="4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DD-B54F-BC5C-91A8E1A9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Top 20 Sellers — Revenue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'Seller Performance'!$C$4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0E8A7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'Seller Performance'!$B$5:$B$24</c:f>
              <c:strCache>
                <c:ptCount val="20"/>
                <c:pt idx="0">
                  <c:v>4869f7a5dfa277a7dca6...</c:v>
                </c:pt>
                <c:pt idx="1">
                  <c:v>53243585a1d6dc264302...</c:v>
                </c:pt>
                <c:pt idx="2">
                  <c:v>4a3ca9315b744ce9f8e9...</c:v>
                </c:pt>
                <c:pt idx="3">
                  <c:v>fa1c13f2614d7b5c4749...</c:v>
                </c:pt>
                <c:pt idx="4">
                  <c:v>7c67e1448b00f6e969d3...</c:v>
                </c:pt>
                <c:pt idx="5">
                  <c:v>7e93a43ef30c4f03f38b...</c:v>
                </c:pt>
                <c:pt idx="6">
                  <c:v>da8622b14eb17ae2831f...</c:v>
                </c:pt>
                <c:pt idx="7">
                  <c:v>7a67c85e85bb2ce8582c...</c:v>
                </c:pt>
                <c:pt idx="8">
                  <c:v>1025f0e2d44d7041d6cf...</c:v>
                </c:pt>
                <c:pt idx="9">
                  <c:v>955fee9216a65b617aa5...</c:v>
                </c:pt>
                <c:pt idx="10">
                  <c:v>46dc3b2cc0980fb8ec44...</c:v>
                </c:pt>
                <c:pt idx="11">
                  <c:v>6560211a19b47992c366...</c:v>
                </c:pt>
                <c:pt idx="12">
                  <c:v>620c87c171fb2a6dd6e8...</c:v>
                </c:pt>
                <c:pt idx="13">
                  <c:v>7d13fca15225358621be...</c:v>
                </c:pt>
                <c:pt idx="14">
                  <c:v>5dceca129747e92ff8ef...</c:v>
                </c:pt>
                <c:pt idx="15">
                  <c:v>1f50f920176fa81dab99...</c:v>
                </c:pt>
                <c:pt idx="16">
                  <c:v>cc419e0650a3c5ba7718...</c:v>
                </c:pt>
                <c:pt idx="17">
                  <c:v>a1043bafd471dff536d0...</c:v>
                </c:pt>
                <c:pt idx="18">
                  <c:v>3d871de0142ce09b7081...</c:v>
                </c:pt>
                <c:pt idx="19">
                  <c:v>edb1ef5e36e0c8cd84eb...</c:v>
                </c:pt>
              </c:strCache>
            </c:strRef>
          </c:cat>
          <c:val>
            <c:numRef>
              <c:f>'Seller Performance'!$C$5:$C$24</c:f>
              <c:numCache>
                <c:formatCode>#,##0</c:formatCode>
                <c:ptCount val="20"/>
                <c:pt idx="0">
                  <c:v>226988</c:v>
                </c:pt>
                <c:pt idx="1">
                  <c:v>217940</c:v>
                </c:pt>
                <c:pt idx="2">
                  <c:v>196882</c:v>
                </c:pt>
                <c:pt idx="3">
                  <c:v>190917</c:v>
                </c:pt>
                <c:pt idx="4">
                  <c:v>186570</c:v>
                </c:pt>
                <c:pt idx="5">
                  <c:v>165981</c:v>
                </c:pt>
                <c:pt idx="6">
                  <c:v>159817</c:v>
                </c:pt>
                <c:pt idx="7">
                  <c:v>139659</c:v>
                </c:pt>
                <c:pt idx="8">
                  <c:v>138209</c:v>
                </c:pt>
                <c:pt idx="9">
                  <c:v>131837</c:v>
                </c:pt>
                <c:pt idx="10">
                  <c:v>122811</c:v>
                </c:pt>
                <c:pt idx="11">
                  <c:v>120703</c:v>
                </c:pt>
                <c:pt idx="12">
                  <c:v>112462</c:v>
                </c:pt>
                <c:pt idx="13">
                  <c:v>112436</c:v>
                </c:pt>
                <c:pt idx="14">
                  <c:v>111127</c:v>
                </c:pt>
                <c:pt idx="15">
                  <c:v>106656</c:v>
                </c:pt>
                <c:pt idx="16">
                  <c:v>101091</c:v>
                </c:pt>
                <c:pt idx="17">
                  <c:v>99309</c:v>
                </c:pt>
                <c:pt idx="18">
                  <c:v>93407</c:v>
                </c:pt>
                <c:pt idx="19">
                  <c:v>79145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F-4D43-BDD5-619AEE6B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8546"/>
        <c:axId val="45182723"/>
      </c:barChart>
      <c:catAx>
        <c:axId val="25785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5182723"/>
        <c:crosses val="autoZero"/>
        <c:auto val="1"/>
        <c:lblAlgn val="ctr"/>
        <c:lblOffset val="100"/>
        <c:noMultiLvlLbl val="0"/>
      </c:catAx>
      <c:valAx>
        <c:axId val="451827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578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Orders by Hour of Day (Brazilian Time)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Timing'!$C$4</c:f>
              <c:strCache>
                <c:ptCount val="1"/>
                <c:pt idx="0">
                  <c:v># Orders</c:v>
                </c:pt>
              </c:strCache>
            </c:strRef>
          </c:tx>
          <c:spPr>
            <a:solidFill>
              <a:srgbClr val="1A527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'Order Timing'!$B$5:$B$28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'Order Timing'!$C$5:$C$28</c:f>
              <c:numCache>
                <c:formatCode>General</c:formatCode>
                <c:ptCount val="24"/>
                <c:pt idx="0">
                  <c:v>2394</c:v>
                </c:pt>
                <c:pt idx="1">
                  <c:v>1170</c:v>
                </c:pt>
                <c:pt idx="2">
                  <c:v>510</c:v>
                </c:pt>
                <c:pt idx="3">
                  <c:v>272</c:v>
                </c:pt>
                <c:pt idx="4">
                  <c:v>206</c:v>
                </c:pt>
                <c:pt idx="5">
                  <c:v>188</c:v>
                </c:pt>
                <c:pt idx="6">
                  <c:v>502</c:v>
                </c:pt>
                <c:pt idx="7">
                  <c:v>1231</c:v>
                </c:pt>
                <c:pt idx="8">
                  <c:v>2967</c:v>
                </c:pt>
                <c:pt idx="9">
                  <c:v>4785</c:v>
                </c:pt>
                <c:pt idx="10">
                  <c:v>6177</c:v>
                </c:pt>
                <c:pt idx="11">
                  <c:v>6578</c:v>
                </c:pt>
                <c:pt idx="12">
                  <c:v>5995</c:v>
                </c:pt>
                <c:pt idx="13">
                  <c:v>6518</c:v>
                </c:pt>
                <c:pt idx="14">
                  <c:v>6569</c:v>
                </c:pt>
                <c:pt idx="15">
                  <c:v>6454</c:v>
                </c:pt>
                <c:pt idx="16">
                  <c:v>6675</c:v>
                </c:pt>
                <c:pt idx="17">
                  <c:v>6150</c:v>
                </c:pt>
                <c:pt idx="18">
                  <c:v>5769</c:v>
                </c:pt>
                <c:pt idx="19">
                  <c:v>5982</c:v>
                </c:pt>
                <c:pt idx="20">
                  <c:v>6193</c:v>
                </c:pt>
                <c:pt idx="21">
                  <c:v>6217</c:v>
                </c:pt>
                <c:pt idx="22">
                  <c:v>5816</c:v>
                </c:pt>
                <c:pt idx="23">
                  <c:v>4123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C-D348-9A92-6401E04F7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68021"/>
        <c:axId val="32330591"/>
      </c:barChart>
      <c:catAx>
        <c:axId val="845680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2330591"/>
        <c:crosses val="autoZero"/>
        <c:auto val="1"/>
        <c:lblAlgn val="ctr"/>
        <c:lblOffset val="100"/>
        <c:noMultiLvlLbl val="0"/>
      </c:catAx>
      <c:valAx>
        <c:axId val="32330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#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4568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BE" sz="1800" b="1" strike="noStrike" spc="-1">
                <a:solidFill>
                  <a:srgbClr val="000000"/>
                </a:solidFill>
                <a:latin typeface="Calibri"/>
              </a:rPr>
              <a:t>Orders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Timing'!$F$4</c:f>
              <c:strCache>
                <c:ptCount val="1"/>
                <c:pt idx="0">
                  <c:v># Orders</c:v>
                </c:pt>
              </c:strCache>
            </c:strRef>
          </c:tx>
          <c:spPr>
            <a:solidFill>
              <a:srgbClr val="D4690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Timing'!$E$5:$E$11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'Order Timing'!$F$5:$F$11</c:f>
              <c:numCache>
                <c:formatCode>General</c:formatCode>
                <c:ptCount val="7"/>
                <c:pt idx="0">
                  <c:v>16196</c:v>
                </c:pt>
                <c:pt idx="1">
                  <c:v>15963</c:v>
                </c:pt>
                <c:pt idx="2">
                  <c:v>15552</c:v>
                </c:pt>
                <c:pt idx="3">
                  <c:v>14761</c:v>
                </c:pt>
                <c:pt idx="4">
                  <c:v>14122</c:v>
                </c:pt>
                <c:pt idx="5">
                  <c:v>10887</c:v>
                </c:pt>
                <c:pt idx="6">
                  <c:v>11960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B-D14F-ABA6-1C32DB7C6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00593"/>
        <c:axId val="9865986"/>
      </c:barChart>
      <c:catAx>
        <c:axId val="97400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865986"/>
        <c:crosses val="autoZero"/>
        <c:auto val="1"/>
        <c:lblAlgn val="ctr"/>
        <c:lblOffset val="100"/>
        <c:noMultiLvlLbl val="0"/>
      </c:catAx>
      <c:valAx>
        <c:axId val="9865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BE" sz="1000" b="1" strike="noStrike" spc="-1">
                    <a:solidFill>
                      <a:srgbClr val="000000"/>
                    </a:solidFill>
                    <a:latin typeface="Calibri"/>
                  </a:rPr>
                  <a:t>#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400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14</xdr:col>
      <xdr:colOff>195120</xdr:colOff>
      <xdr:row>21</xdr:row>
      <xdr:rowOff>177814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9</xdr:col>
      <xdr:colOff>400680</xdr:colOff>
      <xdr:row>51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9</xdr:col>
      <xdr:colOff>400680</xdr:colOff>
      <xdr:row>69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7</xdr:col>
      <xdr:colOff>730440</xdr:colOff>
      <xdr:row>70</xdr:row>
      <xdr:rowOff>2520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8</xdr:col>
      <xdr:colOff>433080</xdr:colOff>
      <xdr:row>60</xdr:row>
      <xdr:rowOff>140040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366889</xdr:colOff>
      <xdr:row>33</xdr:row>
      <xdr:rowOff>1</xdr:rowOff>
    </xdr:from>
    <xdr:to>
      <xdr:col>16</xdr:col>
      <xdr:colOff>2477</xdr:colOff>
      <xdr:row>55</xdr:row>
      <xdr:rowOff>57965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56</xdr:row>
      <xdr:rowOff>0</xdr:rowOff>
    </xdr:from>
    <xdr:to>
      <xdr:col>13</xdr:col>
      <xdr:colOff>477000</xdr:colOff>
      <xdr:row>78</xdr:row>
      <xdr:rowOff>33480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3</xdr:row>
      <xdr:rowOff>211668</xdr:rowOff>
    </xdr:from>
    <xdr:to>
      <xdr:col>16</xdr:col>
      <xdr:colOff>7387</xdr:colOff>
      <xdr:row>26</xdr:row>
      <xdr:rowOff>19009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112889</xdr:colOff>
      <xdr:row>28</xdr:row>
      <xdr:rowOff>98777</xdr:rowOff>
    </xdr:from>
    <xdr:to>
      <xdr:col>7</xdr:col>
      <xdr:colOff>123329</xdr:colOff>
      <xdr:row>51</xdr:row>
      <xdr:rowOff>30101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169333</xdr:colOff>
      <xdr:row>15</xdr:row>
      <xdr:rowOff>0</xdr:rowOff>
    </xdr:from>
    <xdr:to>
      <xdr:col>18</xdr:col>
      <xdr:colOff>418529</xdr:colOff>
      <xdr:row>36</xdr:row>
      <xdr:rowOff>138023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5</xdr:col>
      <xdr:colOff>1025414</xdr:colOff>
      <xdr:row>68</xdr:row>
      <xdr:rowOff>44640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56444</xdr:rowOff>
    </xdr:from>
    <xdr:to>
      <xdr:col>6</xdr:col>
      <xdr:colOff>262738</xdr:colOff>
      <xdr:row>49</xdr:row>
      <xdr:rowOff>133266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8</xdr:col>
      <xdr:colOff>448200</xdr:colOff>
      <xdr:row>61</xdr:row>
      <xdr:rowOff>2520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11</xdr:col>
      <xdr:colOff>610200</xdr:colOff>
      <xdr:row>55</xdr:row>
      <xdr:rowOff>107640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31</xdr:row>
      <xdr:rowOff>0</xdr:rowOff>
    </xdr:from>
    <xdr:to>
      <xdr:col>12</xdr:col>
      <xdr:colOff>305640</xdr:colOff>
      <xdr:row>55</xdr:row>
      <xdr:rowOff>107640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showGridLines="0" tabSelected="1" zoomScale="64" zoomScaleNormal="90" workbookViewId="0">
      <selection activeCell="C5" sqref="C5"/>
    </sheetView>
  </sheetViews>
  <sheetFormatPr defaultColWidth="8.6640625" defaultRowHeight="14.4" x14ac:dyDescent="0.3"/>
  <cols>
    <col min="1" max="1" width="2" customWidth="1"/>
    <col min="2" max="2" width="23.77734375" bestFit="1" customWidth="1"/>
    <col min="3" max="3" width="32.109375" bestFit="1" customWidth="1"/>
    <col min="4" max="4" width="25.33203125" bestFit="1" customWidth="1"/>
    <col min="5" max="5" width="26.33203125" bestFit="1" customWidth="1"/>
    <col min="6" max="8" width="18" customWidth="1"/>
    <col min="9" max="9" width="2" customWidth="1"/>
  </cols>
  <sheetData>
    <row r="1" spans="2:8" ht="43.5" customHeight="1" x14ac:dyDescent="0.3">
      <c r="B1" s="71" t="s">
        <v>0</v>
      </c>
      <c r="C1" s="71"/>
      <c r="D1" s="71"/>
      <c r="E1" s="71"/>
      <c r="F1" s="71"/>
      <c r="G1" s="71"/>
      <c r="H1" s="71"/>
    </row>
    <row r="2" spans="2:8" ht="15.75" customHeight="1" x14ac:dyDescent="0.3">
      <c r="B2" s="72" t="s">
        <v>1</v>
      </c>
      <c r="C2" s="72"/>
      <c r="D2" s="72"/>
      <c r="E2" s="72"/>
      <c r="F2" s="72"/>
      <c r="G2" s="72"/>
      <c r="H2" s="72"/>
    </row>
    <row r="3" spans="2:8" ht="6" customHeight="1" x14ac:dyDescent="0.3"/>
    <row r="4" spans="2:8" ht="15.75" customHeight="1" x14ac:dyDescent="0.3">
      <c r="B4" s="1" t="s">
        <v>2</v>
      </c>
      <c r="C4" s="2" t="s">
        <v>3</v>
      </c>
      <c r="D4" s="3" t="s">
        <v>4</v>
      </c>
      <c r="E4" s="4" t="s">
        <v>5</v>
      </c>
    </row>
    <row r="5" spans="2:8" ht="30" customHeight="1" x14ac:dyDescent="0.3">
      <c r="B5" s="82">
        <v>96478</v>
      </c>
      <c r="C5" s="6" t="s">
        <v>291</v>
      </c>
      <c r="D5" s="83">
        <v>93358</v>
      </c>
      <c r="E5" s="8" t="s">
        <v>6</v>
      </c>
    </row>
    <row r="6" spans="2:8" ht="13.5" customHeight="1" x14ac:dyDescent="0.3">
      <c r="B6" s="9" t="s">
        <v>7</v>
      </c>
      <c r="C6" s="9" t="s">
        <v>8</v>
      </c>
      <c r="D6" s="9" t="s">
        <v>9</v>
      </c>
      <c r="E6" s="9" t="s">
        <v>10</v>
      </c>
    </row>
    <row r="7" spans="2:8" ht="6" customHeight="1" x14ac:dyDescent="0.3"/>
    <row r="8" spans="2:8" ht="15.75" customHeight="1" x14ac:dyDescent="0.3">
      <c r="B8" s="10" t="s">
        <v>11</v>
      </c>
      <c r="C8" s="11" t="s">
        <v>12</v>
      </c>
      <c r="D8" s="12" t="s">
        <v>13</v>
      </c>
      <c r="E8" s="13" t="s">
        <v>14</v>
      </c>
    </row>
    <row r="9" spans="2:8" ht="30" customHeight="1" x14ac:dyDescent="0.3">
      <c r="B9" s="14" t="s">
        <v>292</v>
      </c>
      <c r="C9" s="81">
        <v>6.6000000000000003E-2</v>
      </c>
      <c r="D9" s="84">
        <v>0.03</v>
      </c>
      <c r="E9" s="85">
        <v>0.16600000000000001</v>
      </c>
    </row>
    <row r="10" spans="2:8" ht="13.5" customHeight="1" x14ac:dyDescent="0.3">
      <c r="B10" s="9" t="s">
        <v>15</v>
      </c>
      <c r="C10" s="9" t="s">
        <v>16</v>
      </c>
      <c r="D10" s="9" t="s">
        <v>17</v>
      </c>
      <c r="E10" s="9" t="s">
        <v>18</v>
      </c>
    </row>
    <row r="11" spans="2:8" ht="6" customHeight="1" x14ac:dyDescent="0.3"/>
    <row r="12" spans="2:8" ht="21.75" customHeight="1" x14ac:dyDescent="0.3">
      <c r="B12" s="73" t="s">
        <v>19</v>
      </c>
      <c r="C12" s="73"/>
      <c r="D12" s="73"/>
      <c r="E12" s="73"/>
      <c r="F12" s="73"/>
      <c r="G12" s="73"/>
      <c r="H12" s="73"/>
    </row>
    <row r="13" spans="2:8" ht="18" customHeight="1" x14ac:dyDescent="0.3">
      <c r="B13" s="16" t="s">
        <v>20</v>
      </c>
      <c r="C13" s="16" t="s">
        <v>21</v>
      </c>
      <c r="D13" s="16" t="s">
        <v>22</v>
      </c>
      <c r="E13" s="16" t="s">
        <v>23</v>
      </c>
    </row>
    <row r="14" spans="2:8" ht="24" x14ac:dyDescent="0.3">
      <c r="B14" s="17" t="s">
        <v>24</v>
      </c>
      <c r="C14" s="18" t="s">
        <v>25</v>
      </c>
      <c r="D14" s="19" t="s">
        <v>26</v>
      </c>
      <c r="E14" s="18" t="s">
        <v>27</v>
      </c>
    </row>
    <row r="15" spans="2:8" ht="24" x14ac:dyDescent="0.3">
      <c r="B15" s="20" t="s">
        <v>28</v>
      </c>
      <c r="C15" s="21" t="s">
        <v>29</v>
      </c>
      <c r="D15" s="19" t="s">
        <v>26</v>
      </c>
      <c r="E15" s="21" t="s">
        <v>30</v>
      </c>
    </row>
    <row r="16" spans="2:8" ht="24" x14ac:dyDescent="0.3">
      <c r="B16" s="17" t="s">
        <v>31</v>
      </c>
      <c r="C16" s="18" t="s">
        <v>293</v>
      </c>
      <c r="D16" s="22" t="s">
        <v>32</v>
      </c>
      <c r="E16" s="18" t="s">
        <v>33</v>
      </c>
    </row>
    <row r="17" spans="2:5" ht="24" x14ac:dyDescent="0.3">
      <c r="B17" s="20" t="s">
        <v>34</v>
      </c>
      <c r="C17" s="21" t="s">
        <v>35</v>
      </c>
      <c r="D17" s="22" t="s">
        <v>32</v>
      </c>
      <c r="E17" s="21" t="s">
        <v>36</v>
      </c>
    </row>
    <row r="18" spans="2:5" ht="24" x14ac:dyDescent="0.3">
      <c r="B18" s="17" t="s">
        <v>37</v>
      </c>
      <c r="C18" s="18" t="s">
        <v>38</v>
      </c>
      <c r="D18" s="23" t="s">
        <v>39</v>
      </c>
      <c r="E18" s="18" t="s">
        <v>40</v>
      </c>
    </row>
    <row r="19" spans="2:5" ht="24" x14ac:dyDescent="0.3">
      <c r="B19" s="20" t="s">
        <v>41</v>
      </c>
      <c r="C19" s="21" t="s">
        <v>294</v>
      </c>
      <c r="D19" s="19" t="s">
        <v>26</v>
      </c>
      <c r="E19" s="21" t="s">
        <v>42</v>
      </c>
    </row>
    <row r="20" spans="2:5" ht="24" x14ac:dyDescent="0.3">
      <c r="B20" s="17" t="s">
        <v>43</v>
      </c>
      <c r="C20" s="18" t="s">
        <v>44</v>
      </c>
      <c r="D20" s="23" t="s">
        <v>39</v>
      </c>
      <c r="E20" s="18" t="s">
        <v>45</v>
      </c>
    </row>
    <row r="22" spans="2:5" ht="19.5" customHeight="1" x14ac:dyDescent="0.3">
      <c r="B22" s="74" t="s">
        <v>46</v>
      </c>
      <c r="C22" s="74"/>
      <c r="D22" s="74"/>
      <c r="E22" s="74"/>
    </row>
    <row r="23" spans="2:5" ht="18" customHeight="1" x14ac:dyDescent="0.3">
      <c r="B23" s="24" t="s">
        <v>47</v>
      </c>
      <c r="C23" s="24" t="s">
        <v>48</v>
      </c>
      <c r="D23" s="24" t="s">
        <v>49</v>
      </c>
      <c r="E23" s="24" t="s">
        <v>50</v>
      </c>
    </row>
    <row r="24" spans="2:5" x14ac:dyDescent="0.3">
      <c r="B24" s="25" t="s">
        <v>51</v>
      </c>
      <c r="C24" s="26">
        <v>4949</v>
      </c>
      <c r="D24" s="26">
        <v>705221</v>
      </c>
      <c r="E24" s="27">
        <v>1648.4</v>
      </c>
    </row>
    <row r="25" spans="2:5" x14ac:dyDescent="0.3">
      <c r="B25" s="28" t="s">
        <v>52</v>
      </c>
      <c r="C25" s="29">
        <v>8984</v>
      </c>
      <c r="D25" s="29">
        <v>1251931</v>
      </c>
      <c r="E25" s="27">
        <v>77.5</v>
      </c>
    </row>
    <row r="26" spans="2:5" x14ac:dyDescent="0.3">
      <c r="B26" s="25" t="s">
        <v>53</v>
      </c>
      <c r="C26" s="26">
        <v>12215</v>
      </c>
      <c r="D26" s="26">
        <v>1643704</v>
      </c>
      <c r="E26" s="27">
        <v>31.3</v>
      </c>
    </row>
    <row r="27" spans="2:5" x14ac:dyDescent="0.3">
      <c r="B27" s="28" t="s">
        <v>54</v>
      </c>
      <c r="C27" s="29">
        <v>17280</v>
      </c>
      <c r="D27" s="29">
        <v>2362046</v>
      </c>
      <c r="E27" s="27">
        <v>43.7</v>
      </c>
    </row>
    <row r="28" spans="2:5" x14ac:dyDescent="0.3">
      <c r="B28" s="25" t="s">
        <v>55</v>
      </c>
      <c r="C28" s="26">
        <v>20627</v>
      </c>
      <c r="D28" s="26">
        <v>2704438</v>
      </c>
      <c r="E28" s="27">
        <v>14.5</v>
      </c>
    </row>
    <row r="29" spans="2:5" x14ac:dyDescent="0.3">
      <c r="B29" s="28" t="s">
        <v>56</v>
      </c>
      <c r="C29" s="29">
        <v>19646</v>
      </c>
      <c r="D29" s="29">
        <v>2807157</v>
      </c>
      <c r="E29" s="27">
        <v>3.8</v>
      </c>
    </row>
    <row r="30" spans="2:5" x14ac:dyDescent="0.3">
      <c r="B30" s="25" t="s">
        <v>57</v>
      </c>
      <c r="C30" s="26">
        <v>12510</v>
      </c>
      <c r="D30" s="26">
        <v>1706530</v>
      </c>
      <c r="E30" s="30">
        <v>-39.200000000000003</v>
      </c>
    </row>
  </sheetData>
  <mergeCells count="4">
    <mergeCell ref="B1:H1"/>
    <mergeCell ref="B2:H2"/>
    <mergeCell ref="B12:H12"/>
    <mergeCell ref="B22:E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zoomScale="90" zoomScaleNormal="90" workbookViewId="0"/>
  </sheetViews>
  <sheetFormatPr defaultColWidth="8.6640625" defaultRowHeight="14.4" x14ac:dyDescent="0.3"/>
  <cols>
    <col min="1" max="1" width="2" customWidth="1"/>
    <col min="2" max="7" width="16" customWidth="1"/>
    <col min="8" max="8" width="2" customWidth="1"/>
  </cols>
  <sheetData>
    <row r="1" spans="2:7" ht="37.5" customHeight="1" x14ac:dyDescent="0.3">
      <c r="B1" s="71" t="s">
        <v>58</v>
      </c>
      <c r="C1" s="71"/>
      <c r="D1" s="71"/>
      <c r="E1" s="71"/>
      <c r="F1" s="71"/>
      <c r="G1" s="71"/>
    </row>
    <row r="2" spans="2:7" ht="6" customHeight="1" x14ac:dyDescent="0.3"/>
    <row r="3" spans="2:7" ht="19.5" customHeight="1" x14ac:dyDescent="0.3">
      <c r="B3" s="75" t="s">
        <v>59</v>
      </c>
      <c r="C3" s="75"/>
      <c r="D3" s="75"/>
      <c r="E3" s="75"/>
      <c r="F3" s="75"/>
      <c r="G3" s="75"/>
    </row>
    <row r="4" spans="2:7" ht="18" customHeight="1" x14ac:dyDescent="0.3">
      <c r="B4" s="16" t="s">
        <v>60</v>
      </c>
      <c r="C4" s="16" t="s">
        <v>48</v>
      </c>
      <c r="D4" s="16" t="s">
        <v>49</v>
      </c>
      <c r="E4" s="16" t="s">
        <v>61</v>
      </c>
      <c r="F4" s="16" t="s">
        <v>62</v>
      </c>
    </row>
    <row r="5" spans="2:7" x14ac:dyDescent="0.3">
      <c r="B5" s="25" t="s">
        <v>63</v>
      </c>
      <c r="C5" s="26">
        <v>750</v>
      </c>
      <c r="D5" s="26">
        <v>111798</v>
      </c>
      <c r="E5" s="31">
        <v>149.06</v>
      </c>
      <c r="F5" s="32">
        <v>1025573</v>
      </c>
    </row>
    <row r="6" spans="2:7" x14ac:dyDescent="0.3">
      <c r="B6" s="28" t="s">
        <v>64</v>
      </c>
      <c r="C6" s="29">
        <v>1653</v>
      </c>
      <c r="D6" s="29">
        <v>234223</v>
      </c>
      <c r="E6" s="33">
        <v>141.69999999999999</v>
      </c>
      <c r="F6" s="32">
        <v>109.5</v>
      </c>
    </row>
    <row r="7" spans="2:7" x14ac:dyDescent="0.3">
      <c r="B7" s="25" t="s">
        <v>65</v>
      </c>
      <c r="C7" s="26">
        <v>2546</v>
      </c>
      <c r="D7" s="26">
        <v>359199</v>
      </c>
      <c r="E7" s="31">
        <v>141.08000000000001</v>
      </c>
      <c r="F7" s="32">
        <v>53.4</v>
      </c>
    </row>
    <row r="8" spans="2:7" x14ac:dyDescent="0.3">
      <c r="B8" s="28" t="s">
        <v>66</v>
      </c>
      <c r="C8" s="29">
        <v>2303</v>
      </c>
      <c r="D8" s="29">
        <v>340670</v>
      </c>
      <c r="E8" s="33">
        <v>147.91999999999999</v>
      </c>
      <c r="F8" s="34">
        <v>-5.2</v>
      </c>
    </row>
    <row r="9" spans="2:7" x14ac:dyDescent="0.3">
      <c r="B9" s="25" t="s">
        <v>67</v>
      </c>
      <c r="C9" s="26">
        <v>3546</v>
      </c>
      <c r="D9" s="26">
        <v>489338</v>
      </c>
      <c r="E9" s="31">
        <v>138</v>
      </c>
      <c r="F9" s="32">
        <v>43.6</v>
      </c>
    </row>
    <row r="10" spans="2:7" x14ac:dyDescent="0.3">
      <c r="B10" s="28" t="s">
        <v>68</v>
      </c>
      <c r="C10" s="29">
        <v>3135</v>
      </c>
      <c r="D10" s="29">
        <v>421923</v>
      </c>
      <c r="E10" s="33">
        <v>134.58000000000001</v>
      </c>
      <c r="F10" s="34">
        <v>-13.8</v>
      </c>
    </row>
    <row r="11" spans="2:7" x14ac:dyDescent="0.3">
      <c r="B11" s="25" t="s">
        <v>69</v>
      </c>
      <c r="C11" s="26">
        <v>3872</v>
      </c>
      <c r="D11" s="26">
        <v>481605</v>
      </c>
      <c r="E11" s="31">
        <v>124.38</v>
      </c>
      <c r="F11" s="32">
        <v>14.1</v>
      </c>
    </row>
    <row r="12" spans="2:7" x14ac:dyDescent="0.3">
      <c r="B12" s="28" t="s">
        <v>70</v>
      </c>
      <c r="C12" s="29">
        <v>4193</v>
      </c>
      <c r="D12" s="29">
        <v>554700</v>
      </c>
      <c r="E12" s="33">
        <v>132.29</v>
      </c>
      <c r="F12" s="32">
        <v>15.2</v>
      </c>
    </row>
    <row r="13" spans="2:7" x14ac:dyDescent="0.3">
      <c r="B13" s="25" t="s">
        <v>71</v>
      </c>
      <c r="C13" s="26">
        <v>4150</v>
      </c>
      <c r="D13" s="26">
        <v>607400</v>
      </c>
      <c r="E13" s="31">
        <v>146.36000000000001</v>
      </c>
      <c r="F13" s="32">
        <v>9.5</v>
      </c>
    </row>
    <row r="14" spans="2:7" x14ac:dyDescent="0.3">
      <c r="B14" s="28" t="s">
        <v>72</v>
      </c>
      <c r="C14" s="29">
        <v>4478</v>
      </c>
      <c r="D14" s="29">
        <v>648248</v>
      </c>
      <c r="E14" s="33">
        <v>144.76</v>
      </c>
      <c r="F14" s="32">
        <v>6.7</v>
      </c>
    </row>
    <row r="15" spans="2:7" x14ac:dyDescent="0.3">
      <c r="B15" s="25" t="s">
        <v>73</v>
      </c>
      <c r="C15" s="26">
        <v>7289</v>
      </c>
      <c r="D15" s="26">
        <v>987765</v>
      </c>
      <c r="E15" s="31">
        <v>135.51</v>
      </c>
      <c r="F15" s="32">
        <v>52.4</v>
      </c>
    </row>
    <row r="16" spans="2:7" x14ac:dyDescent="0.3">
      <c r="B16" s="28" t="s">
        <v>74</v>
      </c>
      <c r="C16" s="29">
        <v>5513</v>
      </c>
      <c r="D16" s="29">
        <v>726033</v>
      </c>
      <c r="E16" s="33">
        <v>131.69</v>
      </c>
      <c r="F16" s="34">
        <v>-26.5</v>
      </c>
    </row>
    <row r="17" spans="2:6" x14ac:dyDescent="0.3">
      <c r="B17" s="25" t="s">
        <v>75</v>
      </c>
      <c r="C17" s="26">
        <v>7069</v>
      </c>
      <c r="D17" s="26">
        <v>924645</v>
      </c>
      <c r="E17" s="31">
        <v>130.80000000000001</v>
      </c>
      <c r="F17" s="32">
        <v>27.4</v>
      </c>
    </row>
    <row r="18" spans="2:6" x14ac:dyDescent="0.3">
      <c r="B18" s="28" t="s">
        <v>76</v>
      </c>
      <c r="C18" s="29">
        <v>6555</v>
      </c>
      <c r="D18" s="29">
        <v>826437</v>
      </c>
      <c r="E18" s="33">
        <v>126.08</v>
      </c>
      <c r="F18" s="34">
        <v>-10.6</v>
      </c>
    </row>
    <row r="19" spans="2:6" x14ac:dyDescent="0.3">
      <c r="B19" s="25" t="s">
        <v>77</v>
      </c>
      <c r="C19" s="26">
        <v>7003</v>
      </c>
      <c r="D19" s="26">
        <v>953356</v>
      </c>
      <c r="E19" s="31">
        <v>136.13999999999999</v>
      </c>
      <c r="F19" s="32">
        <v>15.4</v>
      </c>
    </row>
    <row r="20" spans="2:6" x14ac:dyDescent="0.3">
      <c r="B20" s="28" t="s">
        <v>78</v>
      </c>
      <c r="C20" s="29">
        <v>6798</v>
      </c>
      <c r="D20" s="29">
        <v>973534</v>
      </c>
      <c r="E20" s="33">
        <v>143.21</v>
      </c>
      <c r="F20" s="32">
        <v>2.1</v>
      </c>
    </row>
    <row r="21" spans="2:6" x14ac:dyDescent="0.3">
      <c r="B21" s="25" t="s">
        <v>79</v>
      </c>
      <c r="C21" s="26">
        <v>6749</v>
      </c>
      <c r="D21" s="26">
        <v>977545</v>
      </c>
      <c r="E21" s="31">
        <v>144.84</v>
      </c>
      <c r="F21" s="32">
        <v>0.4</v>
      </c>
    </row>
    <row r="22" spans="2:6" x14ac:dyDescent="0.3">
      <c r="B22" s="28" t="s">
        <v>80</v>
      </c>
      <c r="C22" s="29">
        <v>6099</v>
      </c>
      <c r="D22" s="29">
        <v>856078</v>
      </c>
      <c r="E22" s="33">
        <v>140.36000000000001</v>
      </c>
      <c r="F22" s="34">
        <v>-12.4</v>
      </c>
    </row>
    <row r="23" spans="2:6" x14ac:dyDescent="0.3">
      <c r="B23" s="25" t="s">
        <v>81</v>
      </c>
      <c r="C23" s="26">
        <v>6159</v>
      </c>
      <c r="D23" s="26">
        <v>867953</v>
      </c>
      <c r="E23" s="31">
        <v>140.91999999999999</v>
      </c>
      <c r="F23" s="32">
        <v>1.4</v>
      </c>
    </row>
    <row r="24" spans="2:6" x14ac:dyDescent="0.3">
      <c r="B24" s="28" t="s">
        <v>82</v>
      </c>
      <c r="C24" s="29">
        <v>6351</v>
      </c>
      <c r="D24" s="29">
        <v>838577</v>
      </c>
      <c r="E24" s="33">
        <v>132.04</v>
      </c>
      <c r="F24" s="34">
        <v>-3.4</v>
      </c>
    </row>
    <row r="25" spans="2:6" x14ac:dyDescent="0.3">
      <c r="B25" s="35" t="s">
        <v>83</v>
      </c>
      <c r="C25" s="36">
        <f>SUM(C5:C24)</f>
        <v>96211</v>
      </c>
      <c r="D25" s="36">
        <f>SUM(D5:D24)</f>
        <v>13181027</v>
      </c>
      <c r="E25" s="37">
        <f>AVERAGE(E5:E24)</f>
        <v>138.08600000000001</v>
      </c>
    </row>
  </sheetData>
  <mergeCells count="2">
    <mergeCell ref="B1:G1"/>
    <mergeCell ref="B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4"/>
  <sheetViews>
    <sheetView showGridLines="0" zoomScale="90" zoomScaleNormal="90" workbookViewId="0"/>
  </sheetViews>
  <sheetFormatPr defaultColWidth="8.6640625" defaultRowHeight="14.4" x14ac:dyDescent="0.3"/>
  <cols>
    <col min="1" max="1" width="2" customWidth="1"/>
    <col min="2" max="2" width="30" customWidth="1"/>
    <col min="3" max="3" width="16" customWidth="1"/>
    <col min="4" max="8" width="14" customWidth="1"/>
    <col min="9" max="9" width="2" customWidth="1"/>
  </cols>
  <sheetData>
    <row r="1" spans="2:8" ht="37.5" customHeight="1" x14ac:dyDescent="0.3">
      <c r="B1" s="71" t="s">
        <v>84</v>
      </c>
      <c r="C1" s="71"/>
      <c r="D1" s="71"/>
      <c r="E1" s="71"/>
      <c r="F1" s="71"/>
      <c r="G1" s="71"/>
      <c r="H1" s="71"/>
    </row>
    <row r="2" spans="2:8" ht="6" customHeight="1" x14ac:dyDescent="0.3"/>
    <row r="3" spans="2:8" ht="19.5" customHeight="1" x14ac:dyDescent="0.3">
      <c r="B3" s="76" t="s">
        <v>85</v>
      </c>
      <c r="C3" s="76"/>
      <c r="D3" s="76"/>
      <c r="E3" s="76"/>
      <c r="F3" s="76"/>
      <c r="G3" s="76"/>
      <c r="H3" s="76"/>
    </row>
    <row r="4" spans="2:8" ht="18" customHeight="1" x14ac:dyDescent="0.3">
      <c r="B4" s="38" t="s">
        <v>86</v>
      </c>
      <c r="C4" s="38" t="s">
        <v>49</v>
      </c>
      <c r="D4" s="38" t="s">
        <v>87</v>
      </c>
      <c r="E4" s="38" t="s">
        <v>88</v>
      </c>
      <c r="F4" s="38" t="s">
        <v>89</v>
      </c>
      <c r="G4" s="38" t="s">
        <v>90</v>
      </c>
      <c r="H4" s="38" t="s">
        <v>91</v>
      </c>
    </row>
    <row r="5" spans="2:8" x14ac:dyDescent="0.3">
      <c r="B5" s="25" t="s">
        <v>92</v>
      </c>
      <c r="C5" s="26">
        <v>1233132</v>
      </c>
      <c r="D5" s="26">
        <v>8647</v>
      </c>
      <c r="E5" s="31">
        <v>130.28</v>
      </c>
      <c r="F5" s="39">
        <v>4.1900000000000004</v>
      </c>
      <c r="G5" s="40">
        <v>10.06</v>
      </c>
      <c r="H5" s="25">
        <v>1</v>
      </c>
    </row>
    <row r="6" spans="2:8" x14ac:dyDescent="0.3">
      <c r="B6" s="28" t="s">
        <v>93</v>
      </c>
      <c r="C6" s="29">
        <v>1166177</v>
      </c>
      <c r="D6" s="29">
        <v>5495</v>
      </c>
      <c r="E6" s="33">
        <v>199.04</v>
      </c>
      <c r="F6" s="39">
        <v>4.07</v>
      </c>
      <c r="G6" s="41">
        <v>9.52</v>
      </c>
      <c r="H6" s="28">
        <v>2</v>
      </c>
    </row>
    <row r="7" spans="2:8" x14ac:dyDescent="0.3">
      <c r="B7" s="25" t="s">
        <v>94</v>
      </c>
      <c r="C7" s="26">
        <v>1023435</v>
      </c>
      <c r="D7" s="26">
        <v>9272</v>
      </c>
      <c r="E7" s="31">
        <v>93.44</v>
      </c>
      <c r="F7" s="39">
        <v>3.92</v>
      </c>
      <c r="G7" s="40">
        <v>8.35</v>
      </c>
      <c r="H7" s="25">
        <v>3</v>
      </c>
    </row>
    <row r="8" spans="2:8" x14ac:dyDescent="0.3">
      <c r="B8" s="28" t="s">
        <v>95</v>
      </c>
      <c r="C8" s="29">
        <v>954853</v>
      </c>
      <c r="D8" s="29">
        <v>7530</v>
      </c>
      <c r="E8" s="33">
        <v>113.25</v>
      </c>
      <c r="F8" s="39">
        <v>4.17</v>
      </c>
      <c r="G8" s="41">
        <v>7.79</v>
      </c>
      <c r="H8" s="28">
        <v>4</v>
      </c>
    </row>
    <row r="9" spans="2:8" x14ac:dyDescent="0.3">
      <c r="B9" s="25" t="s">
        <v>96</v>
      </c>
      <c r="C9" s="26">
        <v>888725</v>
      </c>
      <c r="D9" s="26">
        <v>6530</v>
      </c>
      <c r="E9" s="31">
        <v>116.26</v>
      </c>
      <c r="F9" s="39">
        <v>3.99</v>
      </c>
      <c r="G9" s="40">
        <v>7.25</v>
      </c>
      <c r="H9" s="25">
        <v>5</v>
      </c>
    </row>
    <row r="10" spans="2:8" x14ac:dyDescent="0.3">
      <c r="B10" s="28" t="s">
        <v>97</v>
      </c>
      <c r="C10" s="29">
        <v>711928</v>
      </c>
      <c r="D10" s="29">
        <v>6307</v>
      </c>
      <c r="E10" s="33">
        <v>87.25</v>
      </c>
      <c r="F10" s="39">
        <v>3.96</v>
      </c>
      <c r="G10" s="41">
        <v>5.81</v>
      </c>
      <c r="H10" s="28">
        <v>6</v>
      </c>
    </row>
    <row r="11" spans="2:8" x14ac:dyDescent="0.3">
      <c r="B11" s="25" t="s">
        <v>98</v>
      </c>
      <c r="C11" s="26">
        <v>615629</v>
      </c>
      <c r="D11" s="26">
        <v>5743</v>
      </c>
      <c r="E11" s="31">
        <v>90.6</v>
      </c>
      <c r="F11" s="39">
        <v>4.1100000000000003</v>
      </c>
      <c r="G11" s="40">
        <v>5.0199999999999996</v>
      </c>
      <c r="H11" s="25">
        <v>7</v>
      </c>
    </row>
    <row r="12" spans="2:8" x14ac:dyDescent="0.3">
      <c r="B12" s="28" t="s">
        <v>99</v>
      </c>
      <c r="C12" s="29">
        <v>610204</v>
      </c>
      <c r="D12" s="29">
        <v>3559</v>
      </c>
      <c r="E12" s="33">
        <v>164.12</v>
      </c>
      <c r="F12" s="39">
        <v>4.1900000000000004</v>
      </c>
      <c r="G12" s="41">
        <v>4.9800000000000004</v>
      </c>
      <c r="H12" s="28">
        <v>8</v>
      </c>
    </row>
    <row r="13" spans="2:8" x14ac:dyDescent="0.3">
      <c r="B13" s="25" t="s">
        <v>100</v>
      </c>
      <c r="C13" s="26">
        <v>578967</v>
      </c>
      <c r="D13" s="26">
        <v>3810</v>
      </c>
      <c r="E13" s="31">
        <v>139.85</v>
      </c>
      <c r="F13" s="39">
        <v>4.12</v>
      </c>
      <c r="G13" s="40">
        <v>4.72</v>
      </c>
      <c r="H13" s="25">
        <v>9</v>
      </c>
    </row>
    <row r="14" spans="2:8" x14ac:dyDescent="0.3">
      <c r="B14" s="28" t="s">
        <v>101</v>
      </c>
      <c r="C14" s="29">
        <v>471286</v>
      </c>
      <c r="D14" s="29">
        <v>3804</v>
      </c>
      <c r="E14" s="33">
        <v>116.94</v>
      </c>
      <c r="F14" s="42">
        <v>4.21</v>
      </c>
      <c r="G14" s="41">
        <v>3.85</v>
      </c>
      <c r="H14" s="28">
        <v>10</v>
      </c>
    </row>
    <row r="15" spans="2:8" x14ac:dyDescent="0.3">
      <c r="B15" s="25" t="s">
        <v>102</v>
      </c>
      <c r="C15" s="26">
        <v>470495</v>
      </c>
      <c r="D15" s="26">
        <v>3448</v>
      </c>
      <c r="E15" s="31">
        <v>110.24</v>
      </c>
      <c r="F15" s="39">
        <v>4.08</v>
      </c>
      <c r="G15" s="40">
        <v>3.84</v>
      </c>
      <c r="H15" s="25">
        <v>11</v>
      </c>
    </row>
    <row r="16" spans="2:8" x14ac:dyDescent="0.3">
      <c r="B16" s="28" t="s">
        <v>103</v>
      </c>
      <c r="C16" s="29">
        <v>400422</v>
      </c>
      <c r="D16" s="29">
        <v>2809</v>
      </c>
      <c r="E16" s="33">
        <v>134.28</v>
      </c>
      <c r="F16" s="39">
        <v>4.08</v>
      </c>
      <c r="G16" s="41">
        <v>3.27</v>
      </c>
      <c r="H16" s="28">
        <v>12</v>
      </c>
    </row>
    <row r="17" spans="2:8" x14ac:dyDescent="0.3">
      <c r="B17" s="25" t="s">
        <v>104</v>
      </c>
      <c r="C17" s="26">
        <v>390145</v>
      </c>
      <c r="D17" s="26">
        <v>3086</v>
      </c>
      <c r="E17" s="31">
        <v>116.81</v>
      </c>
      <c r="F17" s="42">
        <v>4.22</v>
      </c>
      <c r="G17" s="40">
        <v>3.18</v>
      </c>
      <c r="H17" s="25">
        <v>13</v>
      </c>
    </row>
    <row r="18" spans="2:8" x14ac:dyDescent="0.3">
      <c r="B18" s="28" t="s">
        <v>105</v>
      </c>
      <c r="C18" s="29">
        <v>309860</v>
      </c>
      <c r="D18" s="29">
        <v>4093</v>
      </c>
      <c r="E18" s="33">
        <v>69.95</v>
      </c>
      <c r="F18" s="39">
        <v>3.99</v>
      </c>
      <c r="G18" s="41">
        <v>2.5299999999999998</v>
      </c>
      <c r="H18" s="28">
        <v>14</v>
      </c>
    </row>
    <row r="19" spans="2:8" x14ac:dyDescent="0.3">
      <c r="B19" s="25" t="s">
        <v>106</v>
      </c>
      <c r="C19" s="26">
        <v>268154</v>
      </c>
      <c r="D19" s="26">
        <v>1254</v>
      </c>
      <c r="E19" s="31">
        <v>160.76</v>
      </c>
      <c r="F19" s="43">
        <v>3.52</v>
      </c>
      <c r="G19" s="40">
        <v>2.19</v>
      </c>
      <c r="H19" s="25">
        <v>15</v>
      </c>
    </row>
    <row r="20" spans="2:8" x14ac:dyDescent="0.3">
      <c r="B20" s="28" t="s">
        <v>107</v>
      </c>
      <c r="C20" s="29">
        <v>223789</v>
      </c>
      <c r="D20" s="29">
        <v>2264</v>
      </c>
      <c r="E20" s="33">
        <v>90.75</v>
      </c>
      <c r="F20" s="42">
        <v>4.25</v>
      </c>
      <c r="G20" s="41">
        <v>1.83</v>
      </c>
      <c r="H20" s="28">
        <v>16</v>
      </c>
    </row>
    <row r="21" spans="2:8" x14ac:dyDescent="0.3">
      <c r="B21" s="25" t="s">
        <v>108</v>
      </c>
      <c r="C21" s="26">
        <v>218684</v>
      </c>
      <c r="D21" s="26">
        <v>177</v>
      </c>
      <c r="E21" s="31">
        <v>1098.92</v>
      </c>
      <c r="F21" s="42">
        <v>4.22</v>
      </c>
      <c r="G21" s="40">
        <v>1.78</v>
      </c>
      <c r="H21" s="25">
        <v>17</v>
      </c>
    </row>
    <row r="22" spans="2:8" x14ac:dyDescent="0.3">
      <c r="B22" s="28" t="s">
        <v>109</v>
      </c>
      <c r="C22" s="29">
        <v>211696</v>
      </c>
      <c r="D22" s="29">
        <v>1688</v>
      </c>
      <c r="E22" s="33">
        <v>110.03</v>
      </c>
      <c r="F22" s="42">
        <v>4.22</v>
      </c>
      <c r="G22" s="41">
        <v>1.73</v>
      </c>
      <c r="H22" s="28">
        <v>18</v>
      </c>
    </row>
    <row r="23" spans="2:8" x14ac:dyDescent="0.3">
      <c r="B23" s="25" t="s">
        <v>110</v>
      </c>
      <c r="C23" s="26">
        <v>184316</v>
      </c>
      <c r="D23" s="26">
        <v>611</v>
      </c>
      <c r="E23" s="31">
        <v>283.13</v>
      </c>
      <c r="F23" s="42">
        <v>4.22</v>
      </c>
      <c r="G23" s="40">
        <v>1.5</v>
      </c>
      <c r="H23" s="25">
        <v>19</v>
      </c>
    </row>
    <row r="24" spans="2:8" x14ac:dyDescent="0.3">
      <c r="B24" s="28" t="s">
        <v>111</v>
      </c>
      <c r="C24" s="29">
        <v>182754</v>
      </c>
      <c r="D24" s="29">
        <v>609</v>
      </c>
      <c r="E24" s="33">
        <v>277.74</v>
      </c>
      <c r="F24" s="42">
        <v>4.2300000000000004</v>
      </c>
      <c r="G24" s="41">
        <v>1.49</v>
      </c>
      <c r="H24" s="28">
        <v>20</v>
      </c>
    </row>
    <row r="25" spans="2:8" x14ac:dyDescent="0.3">
      <c r="B25" s="25" t="s">
        <v>112</v>
      </c>
      <c r="C25" s="26">
        <v>155044</v>
      </c>
      <c r="D25" s="26">
        <v>2517</v>
      </c>
      <c r="E25" s="31">
        <v>56.81</v>
      </c>
      <c r="F25" s="39">
        <v>4.07</v>
      </c>
      <c r="G25" s="40">
        <v>1.27</v>
      </c>
      <c r="H25" s="25">
        <v>21</v>
      </c>
    </row>
    <row r="26" spans="2:8" x14ac:dyDescent="0.3">
      <c r="B26" s="28" t="s">
        <v>113</v>
      </c>
      <c r="C26" s="29">
        <v>149329</v>
      </c>
      <c r="D26" s="29">
        <v>1820</v>
      </c>
      <c r="E26" s="33">
        <v>75.23</v>
      </c>
      <c r="F26" s="39">
        <v>4.1900000000000004</v>
      </c>
      <c r="G26" s="41">
        <v>1.22</v>
      </c>
      <c r="H26" s="28">
        <v>22</v>
      </c>
    </row>
    <row r="27" spans="2:8" x14ac:dyDescent="0.3">
      <c r="B27" s="25" t="s">
        <v>114</v>
      </c>
      <c r="C27" s="26">
        <v>148003</v>
      </c>
      <c r="D27" s="26">
        <v>1018</v>
      </c>
      <c r="E27" s="31">
        <v>135.91</v>
      </c>
      <c r="F27" s="39">
        <v>4.1399999999999997</v>
      </c>
      <c r="G27" s="40">
        <v>1.21</v>
      </c>
      <c r="H27" s="25">
        <v>23</v>
      </c>
    </row>
    <row r="28" spans="2:8" x14ac:dyDescent="0.3">
      <c r="B28" s="28" t="s">
        <v>115</v>
      </c>
      <c r="C28" s="29">
        <v>142108</v>
      </c>
      <c r="D28" s="29">
        <v>736</v>
      </c>
      <c r="E28" s="33">
        <v>155.13999999999999</v>
      </c>
      <c r="F28" s="39">
        <v>4.09</v>
      </c>
      <c r="G28" s="41">
        <v>1.1599999999999999</v>
      </c>
      <c r="H28" s="28">
        <v>24</v>
      </c>
    </row>
    <row r="29" spans="2:8" x14ac:dyDescent="0.3">
      <c r="B29" s="25" t="s">
        <v>116</v>
      </c>
      <c r="C29" s="26">
        <v>138702</v>
      </c>
      <c r="D29" s="26">
        <v>1019</v>
      </c>
      <c r="E29" s="31">
        <v>128.79</v>
      </c>
      <c r="F29" s="42">
        <v>4.3499999999999996</v>
      </c>
      <c r="G29" s="40">
        <v>1.1299999999999999</v>
      </c>
      <c r="H29" s="25">
        <v>25</v>
      </c>
    </row>
    <row r="30" spans="2:8" x14ac:dyDescent="0.3">
      <c r="B30" s="28" t="s">
        <v>117</v>
      </c>
      <c r="C30" s="29">
        <v>107954</v>
      </c>
      <c r="D30" s="29">
        <v>227</v>
      </c>
      <c r="E30" s="33">
        <v>467.33</v>
      </c>
      <c r="F30" s="39">
        <v>4.16</v>
      </c>
      <c r="G30" s="41">
        <v>0.88</v>
      </c>
      <c r="H30" s="28">
        <v>26</v>
      </c>
    </row>
    <row r="31" spans="2:8" x14ac:dyDescent="0.3">
      <c r="B31" s="25" t="s">
        <v>118</v>
      </c>
      <c r="C31" s="26">
        <v>81408</v>
      </c>
      <c r="D31" s="26">
        <v>483</v>
      </c>
      <c r="E31" s="31">
        <v>136.59</v>
      </c>
      <c r="F31" s="39">
        <v>3.96</v>
      </c>
      <c r="G31" s="40">
        <v>0.66</v>
      </c>
      <c r="H31" s="25">
        <v>27</v>
      </c>
    </row>
    <row r="32" spans="2:8" x14ac:dyDescent="0.3">
      <c r="B32" s="28" t="s">
        <v>119</v>
      </c>
      <c r="C32" s="29">
        <v>78832</v>
      </c>
      <c r="D32" s="29">
        <v>747</v>
      </c>
      <c r="E32" s="33">
        <v>104.55</v>
      </c>
      <c r="F32" s="42">
        <v>4.2300000000000004</v>
      </c>
      <c r="G32" s="41">
        <v>0.64</v>
      </c>
      <c r="H32" s="28">
        <v>28</v>
      </c>
    </row>
    <row r="33" spans="2:8" x14ac:dyDescent="0.3">
      <c r="B33" s="25" t="s">
        <v>120</v>
      </c>
      <c r="C33" s="26">
        <v>70566</v>
      </c>
      <c r="D33" s="26">
        <v>177</v>
      </c>
      <c r="E33" s="31">
        <v>342.55</v>
      </c>
      <c r="F33" s="39">
        <v>4.09</v>
      </c>
      <c r="G33" s="40">
        <v>0.57999999999999996</v>
      </c>
      <c r="H33" s="25">
        <v>29</v>
      </c>
    </row>
    <row r="34" spans="2:8" x14ac:dyDescent="0.3">
      <c r="B34" s="28" t="s">
        <v>121</v>
      </c>
      <c r="C34" s="29">
        <v>67351</v>
      </c>
      <c r="D34" s="29">
        <v>414</v>
      </c>
      <c r="E34" s="33">
        <v>136.06</v>
      </c>
      <c r="F34" s="39">
        <v>3.93</v>
      </c>
      <c r="G34" s="41">
        <v>0.55000000000000004</v>
      </c>
      <c r="H34" s="28">
        <v>30</v>
      </c>
    </row>
  </sheetData>
  <mergeCells count="2">
    <mergeCell ref="B1:H1"/>
    <mergeCell ref="B3:H3"/>
  </mergeCells>
  <conditionalFormatting sqref="C5:C34">
    <cfRule type="dataBar" priority="2">
      <dataBar>
        <cfvo type="min"/>
        <cfvo type="max"/>
        <color rgb="FFD4690A"/>
      </dataBar>
      <extLst>
        <ext xmlns:x14="http://schemas.microsoft.com/office/spreadsheetml/2009/9/main" uri="{B025F937-C7B1-47D3-B67F-A62EFF666E3E}">
          <x14:id>{AD51F745-67C1-4E9A-99E3-70C4408FF3F1}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51F745-67C1-4E9A-99E3-70C4408FF3F1}">
            <x14:dataBar axisPosition="none">
              <x14:cfvo type="min"/>
              <x14:cfvo type="max"/>
              <x14:negativeFillColor rgb="FFD4690A"/>
            </x14:dataBar>
          </x14:cfRule>
          <xm:sqref>C5:C34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4"/>
  <sheetViews>
    <sheetView showGridLines="0" zoomScale="90" zoomScaleNormal="90" workbookViewId="0"/>
  </sheetViews>
  <sheetFormatPr defaultColWidth="8.6640625" defaultRowHeight="14.4" x14ac:dyDescent="0.3"/>
  <cols>
    <col min="1" max="1" width="2" customWidth="1"/>
    <col min="2" max="2" width="14" customWidth="1"/>
    <col min="3" max="7" width="16" customWidth="1"/>
    <col min="8" max="8" width="2" customWidth="1"/>
  </cols>
  <sheetData>
    <row r="1" spans="2:7" ht="37.5" customHeight="1" x14ac:dyDescent="0.3">
      <c r="B1" s="71" t="s">
        <v>122</v>
      </c>
      <c r="C1" s="71"/>
      <c r="D1" s="71"/>
      <c r="E1" s="71"/>
      <c r="F1" s="71"/>
      <c r="G1" s="71"/>
    </row>
    <row r="2" spans="2:7" ht="6" customHeight="1" x14ac:dyDescent="0.3"/>
    <row r="3" spans="2:7" ht="19.5" customHeight="1" x14ac:dyDescent="0.3">
      <c r="B3" s="77" t="s">
        <v>123</v>
      </c>
      <c r="C3" s="77"/>
      <c r="D3" s="77"/>
      <c r="E3" s="77"/>
      <c r="F3" s="77"/>
      <c r="G3" s="77"/>
    </row>
    <row r="4" spans="2:7" ht="18" customHeight="1" x14ac:dyDescent="0.3">
      <c r="B4" s="44" t="s">
        <v>124</v>
      </c>
      <c r="C4" s="44" t="s">
        <v>87</v>
      </c>
      <c r="D4" s="44" t="s">
        <v>49</v>
      </c>
      <c r="E4" s="44" t="s">
        <v>90</v>
      </c>
      <c r="F4" s="44" t="s">
        <v>89</v>
      </c>
      <c r="G4" s="44" t="s">
        <v>125</v>
      </c>
    </row>
    <row r="5" spans="2:7" x14ac:dyDescent="0.3">
      <c r="B5" s="25" t="s">
        <v>126</v>
      </c>
      <c r="C5" s="26">
        <v>40501</v>
      </c>
      <c r="D5" s="26">
        <v>5067633</v>
      </c>
      <c r="E5" s="40">
        <v>38.33</v>
      </c>
      <c r="F5" s="40">
        <v>4.18</v>
      </c>
      <c r="G5" s="40">
        <v>41.98</v>
      </c>
    </row>
    <row r="6" spans="2:7" x14ac:dyDescent="0.3">
      <c r="B6" s="28" t="s">
        <v>127</v>
      </c>
      <c r="C6" s="29">
        <v>12350</v>
      </c>
      <c r="D6" s="29">
        <v>1759651</v>
      </c>
      <c r="E6" s="41">
        <v>13.31</v>
      </c>
      <c r="F6" s="41">
        <v>3.87</v>
      </c>
      <c r="G6" s="41">
        <v>12.8</v>
      </c>
    </row>
    <row r="7" spans="2:7" x14ac:dyDescent="0.3">
      <c r="B7" s="25" t="s">
        <v>128</v>
      </c>
      <c r="C7" s="26">
        <v>11354</v>
      </c>
      <c r="D7" s="26">
        <v>1552482</v>
      </c>
      <c r="E7" s="40">
        <v>11.74</v>
      </c>
      <c r="F7" s="40">
        <v>4.12</v>
      </c>
      <c r="G7" s="40">
        <v>11.77</v>
      </c>
    </row>
    <row r="8" spans="2:7" x14ac:dyDescent="0.3">
      <c r="B8" s="28" t="s">
        <v>129</v>
      </c>
      <c r="C8" s="29">
        <v>5345</v>
      </c>
      <c r="D8" s="29">
        <v>728897</v>
      </c>
      <c r="E8" s="41">
        <v>5.51</v>
      </c>
      <c r="F8" s="41">
        <v>4.09</v>
      </c>
      <c r="G8" s="41">
        <v>5.54</v>
      </c>
    </row>
    <row r="9" spans="2:7" x14ac:dyDescent="0.3">
      <c r="B9" s="25" t="s">
        <v>130</v>
      </c>
      <c r="C9" s="26">
        <v>4923</v>
      </c>
      <c r="D9" s="26">
        <v>666064</v>
      </c>
      <c r="E9" s="40">
        <v>5.04</v>
      </c>
      <c r="F9" s="40">
        <v>4.1500000000000004</v>
      </c>
      <c r="G9" s="40">
        <v>5.0999999999999996</v>
      </c>
    </row>
    <row r="10" spans="2:7" x14ac:dyDescent="0.3">
      <c r="B10" s="28" t="s">
        <v>131</v>
      </c>
      <c r="C10" s="29">
        <v>3546</v>
      </c>
      <c r="D10" s="29">
        <v>507012</v>
      </c>
      <c r="E10" s="41">
        <v>3.83</v>
      </c>
      <c r="F10" s="41">
        <v>4.05</v>
      </c>
      <c r="G10" s="41">
        <v>3.68</v>
      </c>
    </row>
    <row r="11" spans="2:7" x14ac:dyDescent="0.3">
      <c r="B11" s="25" t="s">
        <v>132</v>
      </c>
      <c r="C11" s="26">
        <v>3256</v>
      </c>
      <c r="D11" s="26">
        <v>493584</v>
      </c>
      <c r="E11" s="40">
        <v>3.73</v>
      </c>
      <c r="F11" s="40">
        <v>3.86</v>
      </c>
      <c r="G11" s="40">
        <v>3.37</v>
      </c>
    </row>
    <row r="12" spans="2:7" x14ac:dyDescent="0.3">
      <c r="B12" s="28" t="s">
        <v>133</v>
      </c>
      <c r="C12" s="29">
        <v>2080</v>
      </c>
      <c r="D12" s="29">
        <v>296498</v>
      </c>
      <c r="E12" s="41">
        <v>2.2400000000000002</v>
      </c>
      <c r="F12" s="41">
        <v>4.0599999999999996</v>
      </c>
      <c r="G12" s="41">
        <v>2.16</v>
      </c>
    </row>
    <row r="13" spans="2:7" x14ac:dyDescent="0.3">
      <c r="B13" s="25" t="s">
        <v>134</v>
      </c>
      <c r="C13" s="26">
        <v>1995</v>
      </c>
      <c r="D13" s="26">
        <v>268643</v>
      </c>
      <c r="E13" s="40">
        <v>2.0299999999999998</v>
      </c>
      <c r="F13" s="40">
        <v>4.0199999999999996</v>
      </c>
      <c r="G13" s="40">
        <v>2.0699999999999998</v>
      </c>
    </row>
    <row r="14" spans="2:7" x14ac:dyDescent="0.3">
      <c r="B14" s="28" t="s">
        <v>135</v>
      </c>
      <c r="C14" s="29">
        <v>1957</v>
      </c>
      <c r="D14" s="29">
        <v>282837</v>
      </c>
      <c r="E14" s="41">
        <v>2.14</v>
      </c>
      <c r="F14" s="41">
        <v>4.04</v>
      </c>
      <c r="G14" s="41">
        <v>2.0299999999999998</v>
      </c>
    </row>
    <row r="15" spans="2:7" x14ac:dyDescent="0.3">
      <c r="B15" s="25" t="s">
        <v>136</v>
      </c>
      <c r="C15" s="26">
        <v>1593</v>
      </c>
      <c r="D15" s="26">
        <v>251889</v>
      </c>
      <c r="E15" s="40">
        <v>1.91</v>
      </c>
      <c r="F15" s="40">
        <v>4.0199999999999996</v>
      </c>
      <c r="G15" s="40">
        <v>1.65</v>
      </c>
    </row>
    <row r="16" spans="2:7" x14ac:dyDescent="0.3">
      <c r="B16" s="28" t="s">
        <v>137</v>
      </c>
      <c r="C16" s="29">
        <v>1279</v>
      </c>
      <c r="D16" s="29">
        <v>219757</v>
      </c>
      <c r="E16" s="41">
        <v>1.66</v>
      </c>
      <c r="F16" s="41">
        <v>3.88</v>
      </c>
      <c r="G16" s="41">
        <v>1.33</v>
      </c>
    </row>
    <row r="17" spans="2:7" x14ac:dyDescent="0.3">
      <c r="B17" s="25" t="s">
        <v>138</v>
      </c>
      <c r="C17" s="26">
        <v>946</v>
      </c>
      <c r="D17" s="26">
        <v>174471</v>
      </c>
      <c r="E17" s="40">
        <v>1.32</v>
      </c>
      <c r="F17" s="40">
        <v>3.84</v>
      </c>
      <c r="G17" s="40">
        <v>0.98</v>
      </c>
    </row>
    <row r="18" spans="2:7" x14ac:dyDescent="0.3">
      <c r="B18" s="28" t="s">
        <v>139</v>
      </c>
      <c r="C18" s="29">
        <v>886</v>
      </c>
      <c r="D18" s="29">
        <v>152192</v>
      </c>
      <c r="E18" s="41">
        <v>1.1499999999999999</v>
      </c>
      <c r="F18" s="41">
        <v>4.01</v>
      </c>
      <c r="G18" s="41">
        <v>0.92</v>
      </c>
    </row>
    <row r="19" spans="2:7" x14ac:dyDescent="0.3">
      <c r="B19" s="25" t="s">
        <v>140</v>
      </c>
      <c r="C19" s="26">
        <v>717</v>
      </c>
      <c r="D19" s="26">
        <v>117009</v>
      </c>
      <c r="E19" s="40">
        <v>0.88</v>
      </c>
      <c r="F19" s="40">
        <v>3.76</v>
      </c>
      <c r="G19" s="40">
        <v>0.74</v>
      </c>
    </row>
    <row r="20" spans="2:7" x14ac:dyDescent="0.3">
      <c r="B20" s="28" t="s">
        <v>141</v>
      </c>
      <c r="C20" s="29">
        <v>701</v>
      </c>
      <c r="D20" s="29">
        <v>115430</v>
      </c>
      <c r="E20" s="41">
        <v>0.87</v>
      </c>
      <c r="F20" s="41">
        <v>4.0599999999999996</v>
      </c>
      <c r="G20" s="41">
        <v>0.73</v>
      </c>
    </row>
    <row r="21" spans="2:7" x14ac:dyDescent="0.3">
      <c r="B21" s="25" t="s">
        <v>142</v>
      </c>
      <c r="C21" s="26">
        <v>517</v>
      </c>
      <c r="D21" s="26">
        <v>112587</v>
      </c>
      <c r="E21" s="40">
        <v>0.85</v>
      </c>
      <c r="F21" s="40">
        <v>4.04</v>
      </c>
      <c r="G21" s="40">
        <v>0.54</v>
      </c>
    </row>
    <row r="22" spans="2:7" x14ac:dyDescent="0.3">
      <c r="B22" s="28" t="s">
        <v>143</v>
      </c>
      <c r="C22" s="29">
        <v>476</v>
      </c>
      <c r="D22" s="29">
        <v>84721</v>
      </c>
      <c r="E22" s="41">
        <v>0.64</v>
      </c>
      <c r="F22" s="41">
        <v>3.96</v>
      </c>
      <c r="G22" s="41">
        <v>0.49</v>
      </c>
    </row>
    <row r="23" spans="2:7" x14ac:dyDescent="0.3">
      <c r="B23" s="25" t="s">
        <v>144</v>
      </c>
      <c r="C23" s="26">
        <v>474</v>
      </c>
      <c r="D23" s="26">
        <v>82106</v>
      </c>
      <c r="E23" s="40">
        <v>0.62</v>
      </c>
      <c r="F23" s="40">
        <v>4.1100000000000003</v>
      </c>
      <c r="G23" s="40">
        <v>0.49</v>
      </c>
    </row>
    <row r="24" spans="2:7" x14ac:dyDescent="0.3">
      <c r="B24" s="28" t="s">
        <v>145</v>
      </c>
      <c r="C24" s="29">
        <v>397</v>
      </c>
      <c r="D24" s="29">
        <v>78856</v>
      </c>
      <c r="E24" s="41">
        <v>0.6</v>
      </c>
      <c r="F24" s="41">
        <v>3.83</v>
      </c>
      <c r="G24" s="41">
        <v>0.41</v>
      </c>
    </row>
    <row r="25" spans="2:7" x14ac:dyDescent="0.3">
      <c r="B25" s="25" t="s">
        <v>146</v>
      </c>
      <c r="C25" s="26">
        <v>335</v>
      </c>
      <c r="D25" s="26">
        <v>56574</v>
      </c>
      <c r="E25" s="40">
        <v>0.43</v>
      </c>
      <c r="F25" s="40">
        <v>3.9</v>
      </c>
      <c r="G25" s="40">
        <v>0.35</v>
      </c>
    </row>
    <row r="26" spans="2:7" x14ac:dyDescent="0.3">
      <c r="B26" s="28" t="s">
        <v>147</v>
      </c>
      <c r="C26" s="29">
        <v>274</v>
      </c>
      <c r="D26" s="29">
        <v>48403</v>
      </c>
      <c r="E26" s="41">
        <v>0.37</v>
      </c>
      <c r="F26" s="41">
        <v>4.16</v>
      </c>
      <c r="G26" s="41">
        <v>0.28000000000000003</v>
      </c>
    </row>
    <row r="27" spans="2:7" x14ac:dyDescent="0.3">
      <c r="B27" s="25" t="s">
        <v>148</v>
      </c>
      <c r="C27" s="26">
        <v>243</v>
      </c>
      <c r="D27" s="26">
        <v>45683</v>
      </c>
      <c r="E27" s="40">
        <v>0.35</v>
      </c>
      <c r="F27" s="40">
        <v>4.07</v>
      </c>
      <c r="G27" s="40">
        <v>0.25</v>
      </c>
    </row>
    <row r="28" spans="2:7" x14ac:dyDescent="0.3">
      <c r="B28" s="28" t="s">
        <v>149</v>
      </c>
      <c r="C28" s="29">
        <v>145</v>
      </c>
      <c r="D28" s="29">
        <v>22156</v>
      </c>
      <c r="E28" s="41">
        <v>0.17</v>
      </c>
      <c r="F28" s="41">
        <v>4.1100000000000003</v>
      </c>
      <c r="G28" s="41">
        <v>0.15</v>
      </c>
    </row>
    <row r="29" spans="2:7" x14ac:dyDescent="0.3">
      <c r="B29" s="25" t="s">
        <v>150</v>
      </c>
      <c r="C29" s="26">
        <v>80</v>
      </c>
      <c r="D29" s="26">
        <v>15931</v>
      </c>
      <c r="E29" s="40">
        <v>0.12</v>
      </c>
      <c r="F29" s="40">
        <v>4.13</v>
      </c>
      <c r="G29" s="40">
        <v>0.08</v>
      </c>
    </row>
    <row r="30" spans="2:7" x14ac:dyDescent="0.3">
      <c r="B30" s="28" t="s">
        <v>151</v>
      </c>
      <c r="C30" s="29">
        <v>67</v>
      </c>
      <c r="D30" s="29">
        <v>13375</v>
      </c>
      <c r="E30" s="41">
        <v>0.1</v>
      </c>
      <c r="F30" s="41">
        <v>4.26</v>
      </c>
      <c r="G30" s="41">
        <v>7.0000000000000007E-2</v>
      </c>
    </row>
    <row r="31" spans="2:7" x14ac:dyDescent="0.3">
      <c r="B31" s="25" t="s">
        <v>152</v>
      </c>
      <c r="C31" s="26">
        <v>41</v>
      </c>
      <c r="D31" s="26">
        <v>7057</v>
      </c>
      <c r="E31" s="40">
        <v>0.05</v>
      </c>
      <c r="F31" s="40">
        <v>3.89</v>
      </c>
      <c r="G31" s="40">
        <v>0.04</v>
      </c>
    </row>
    <row r="33" spans="2:5" ht="19.5" customHeight="1" x14ac:dyDescent="0.3">
      <c r="B33" s="74" t="s">
        <v>153</v>
      </c>
      <c r="C33" s="74"/>
      <c r="D33" s="74"/>
      <c r="E33" s="74"/>
    </row>
    <row r="34" spans="2:5" ht="18" customHeight="1" x14ac:dyDescent="0.3">
      <c r="B34" s="24" t="s">
        <v>154</v>
      </c>
      <c r="C34" s="24" t="s">
        <v>155</v>
      </c>
      <c r="D34" s="24" t="s">
        <v>156</v>
      </c>
    </row>
    <row r="35" spans="2:5" x14ac:dyDescent="0.3">
      <c r="B35" s="25" t="s">
        <v>126</v>
      </c>
      <c r="C35" s="26">
        <v>8509511</v>
      </c>
      <c r="D35" s="45">
        <v>64.400000000000006</v>
      </c>
    </row>
    <row r="36" spans="2:5" x14ac:dyDescent="0.3">
      <c r="B36" s="28" t="s">
        <v>130</v>
      </c>
      <c r="C36" s="29">
        <v>1232097</v>
      </c>
      <c r="D36" s="46">
        <v>9.3000000000000007</v>
      </c>
    </row>
    <row r="37" spans="2:5" x14ac:dyDescent="0.3">
      <c r="B37" s="25" t="s">
        <v>128</v>
      </c>
      <c r="C37" s="26">
        <v>977866</v>
      </c>
      <c r="D37" s="45">
        <v>7.4</v>
      </c>
    </row>
    <row r="38" spans="2:5" x14ac:dyDescent="0.3">
      <c r="B38" s="28" t="s">
        <v>127</v>
      </c>
      <c r="C38" s="29">
        <v>820612</v>
      </c>
      <c r="D38" s="46">
        <v>6.2</v>
      </c>
    </row>
    <row r="39" spans="2:5" x14ac:dyDescent="0.3">
      <c r="B39" s="25" t="s">
        <v>131</v>
      </c>
      <c r="C39" s="26">
        <v>613592</v>
      </c>
      <c r="D39" s="45">
        <v>4.5999999999999996</v>
      </c>
    </row>
    <row r="40" spans="2:5" x14ac:dyDescent="0.3">
      <c r="B40" s="28" t="s">
        <v>129</v>
      </c>
      <c r="C40" s="29">
        <v>373412</v>
      </c>
      <c r="D40" s="46">
        <v>2.8</v>
      </c>
    </row>
    <row r="41" spans="2:5" x14ac:dyDescent="0.3">
      <c r="B41" s="25" t="s">
        <v>132</v>
      </c>
      <c r="C41" s="26">
        <v>277926</v>
      </c>
      <c r="D41" s="45">
        <v>2.1</v>
      </c>
    </row>
    <row r="42" spans="2:5" x14ac:dyDescent="0.3">
      <c r="B42" s="28" t="s">
        <v>133</v>
      </c>
      <c r="C42" s="29">
        <v>94840</v>
      </c>
      <c r="D42" s="46">
        <v>0.7</v>
      </c>
    </row>
    <row r="43" spans="2:5" x14ac:dyDescent="0.3">
      <c r="B43" s="25" t="s">
        <v>136</v>
      </c>
      <c r="C43" s="26">
        <v>91164</v>
      </c>
      <c r="D43" s="45">
        <v>0.7</v>
      </c>
    </row>
    <row r="44" spans="2:5" x14ac:dyDescent="0.3">
      <c r="B44" s="28" t="s">
        <v>135</v>
      </c>
      <c r="C44" s="29">
        <v>64807</v>
      </c>
      <c r="D44" s="46">
        <v>0.5</v>
      </c>
    </row>
  </sheetData>
  <mergeCells count="3">
    <mergeCell ref="B1:G1"/>
    <mergeCell ref="B3:G3"/>
    <mergeCell ref="B33:E33"/>
  </mergeCells>
  <conditionalFormatting sqref="C5:C31">
    <cfRule type="colorScale" priority="2">
      <colorScale>
        <cfvo type="min"/>
        <cfvo type="max"/>
        <color rgb="FFEBF5FB"/>
        <color rgb="FF6C3483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94"/>
  <sheetViews>
    <sheetView showGridLines="0" zoomScale="90" zoomScaleNormal="90" workbookViewId="0">
      <selection activeCell="F4" sqref="F4"/>
    </sheetView>
  </sheetViews>
  <sheetFormatPr defaultColWidth="8.6640625" defaultRowHeight="14.4" x14ac:dyDescent="0.3"/>
  <cols>
    <col min="1" max="1" width="2" customWidth="1"/>
    <col min="2" max="2" width="14" customWidth="1"/>
    <col min="3" max="3" width="18" customWidth="1"/>
    <col min="4" max="5" width="14" customWidth="1"/>
    <col min="6" max="6" width="16" customWidth="1"/>
    <col min="7" max="7" width="20" customWidth="1"/>
    <col min="8" max="8" width="2" customWidth="1"/>
  </cols>
  <sheetData>
    <row r="1" spans="2:7" ht="37.5" customHeight="1" x14ac:dyDescent="0.3">
      <c r="B1" s="71" t="s">
        <v>157</v>
      </c>
      <c r="C1" s="71"/>
      <c r="D1" s="71"/>
      <c r="E1" s="71"/>
      <c r="F1" s="71"/>
      <c r="G1" s="71"/>
    </row>
    <row r="2" spans="2:7" ht="6" customHeight="1" x14ac:dyDescent="0.3"/>
    <row r="3" spans="2:7" ht="15.75" customHeight="1" x14ac:dyDescent="0.3">
      <c r="B3" s="1" t="s">
        <v>158</v>
      </c>
      <c r="C3" s="3" t="s">
        <v>159</v>
      </c>
      <c r="D3" s="11" t="s">
        <v>12</v>
      </c>
      <c r="E3" s="11" t="s">
        <v>160</v>
      </c>
      <c r="F3" s="10" t="s">
        <v>161</v>
      </c>
    </row>
    <row r="4" spans="2:7" ht="30" customHeight="1" x14ac:dyDescent="0.3">
      <c r="B4" s="5" t="s">
        <v>288</v>
      </c>
      <c r="C4" s="7" t="s">
        <v>162</v>
      </c>
      <c r="D4" s="81">
        <v>6.6000000000000003E-2</v>
      </c>
      <c r="E4" s="15" t="s">
        <v>289</v>
      </c>
      <c r="F4" s="14" t="s">
        <v>290</v>
      </c>
    </row>
    <row r="6" spans="2:7" ht="6" customHeight="1" x14ac:dyDescent="0.3"/>
    <row r="7" spans="2:7" ht="19.5" customHeight="1" x14ac:dyDescent="0.3">
      <c r="B7" s="74" t="s">
        <v>163</v>
      </c>
      <c r="C7" s="74"/>
      <c r="D7" s="74"/>
      <c r="E7" s="74"/>
      <c r="F7" s="74"/>
      <c r="G7" s="74"/>
    </row>
    <row r="8" spans="2:7" ht="18" customHeight="1" x14ac:dyDescent="0.3">
      <c r="B8" s="24" t="s">
        <v>124</v>
      </c>
      <c r="C8" s="24" t="s">
        <v>164</v>
      </c>
      <c r="D8" s="24" t="s">
        <v>165</v>
      </c>
      <c r="E8" s="24" t="s">
        <v>87</v>
      </c>
      <c r="F8" s="24" t="s">
        <v>89</v>
      </c>
      <c r="G8" s="24" t="s">
        <v>166</v>
      </c>
    </row>
    <row r="9" spans="2:7" x14ac:dyDescent="0.3">
      <c r="B9" s="25" t="s">
        <v>149</v>
      </c>
      <c r="C9" s="25">
        <v>26</v>
      </c>
      <c r="D9" s="47">
        <v>3.1</v>
      </c>
      <c r="E9" s="25">
        <v>145</v>
      </c>
      <c r="F9" s="25"/>
      <c r="G9" s="25" t="s">
        <v>167</v>
      </c>
    </row>
    <row r="10" spans="2:7" x14ac:dyDescent="0.3">
      <c r="B10" s="28" t="s">
        <v>145</v>
      </c>
      <c r="C10" s="28">
        <v>24</v>
      </c>
      <c r="D10" s="47">
        <v>20.8</v>
      </c>
      <c r="E10" s="28">
        <v>397</v>
      </c>
      <c r="F10" s="28"/>
      <c r="G10" s="28" t="s">
        <v>167</v>
      </c>
    </row>
    <row r="11" spans="2:7" x14ac:dyDescent="0.3">
      <c r="B11" s="25" t="s">
        <v>138</v>
      </c>
      <c r="C11" s="25">
        <v>23.3</v>
      </c>
      <c r="D11" s="47">
        <v>11.3</v>
      </c>
      <c r="E11" s="25">
        <v>946</v>
      </c>
      <c r="F11" s="25"/>
      <c r="G11" s="25" t="s">
        <v>167</v>
      </c>
    </row>
    <row r="12" spans="2:7" x14ac:dyDescent="0.3">
      <c r="B12" s="28" t="s">
        <v>140</v>
      </c>
      <c r="C12" s="28">
        <v>21.2</v>
      </c>
      <c r="D12" s="47">
        <v>18</v>
      </c>
      <c r="E12" s="28">
        <v>717</v>
      </c>
      <c r="F12" s="28"/>
      <c r="G12" s="28" t="s">
        <v>167</v>
      </c>
    </row>
    <row r="13" spans="2:7" x14ac:dyDescent="0.3">
      <c r="B13" s="25" t="s">
        <v>146</v>
      </c>
      <c r="C13" s="25">
        <v>21</v>
      </c>
      <c r="D13" s="47">
        <v>16.3</v>
      </c>
      <c r="E13" s="25">
        <v>335</v>
      </c>
      <c r="F13" s="25"/>
      <c r="G13" s="25" t="s">
        <v>167</v>
      </c>
    </row>
    <row r="14" spans="2:7" x14ac:dyDescent="0.3">
      <c r="B14" s="28" t="s">
        <v>137</v>
      </c>
      <c r="C14" s="28">
        <v>20.5</v>
      </c>
      <c r="D14" s="47">
        <v>13.6</v>
      </c>
      <c r="E14" s="28">
        <v>1279</v>
      </c>
      <c r="F14" s="28"/>
      <c r="G14" s="28" t="s">
        <v>167</v>
      </c>
    </row>
    <row r="15" spans="2:7" x14ac:dyDescent="0.3">
      <c r="B15" s="25" t="s">
        <v>142</v>
      </c>
      <c r="C15" s="25">
        <v>20.100000000000001</v>
      </c>
      <c r="D15" s="47">
        <v>10.8</v>
      </c>
      <c r="E15" s="25">
        <v>517</v>
      </c>
      <c r="F15" s="25"/>
      <c r="G15" s="25" t="s">
        <v>167</v>
      </c>
    </row>
    <row r="16" spans="2:7" x14ac:dyDescent="0.3">
      <c r="B16" s="28" t="s">
        <v>148</v>
      </c>
      <c r="C16" s="28">
        <v>19.3</v>
      </c>
      <c r="D16" s="48">
        <v>4</v>
      </c>
      <c r="E16" s="28">
        <v>243</v>
      </c>
      <c r="F16" s="28"/>
      <c r="G16" s="28" t="s">
        <v>168</v>
      </c>
    </row>
    <row r="17" spans="2:7" x14ac:dyDescent="0.3">
      <c r="B17" s="25" t="s">
        <v>143</v>
      </c>
      <c r="C17" s="25">
        <v>18.899999999999999</v>
      </c>
      <c r="D17" s="48">
        <v>13.6</v>
      </c>
      <c r="E17" s="25">
        <v>476</v>
      </c>
      <c r="F17" s="25"/>
      <c r="G17" s="25" t="s">
        <v>168</v>
      </c>
    </row>
    <row r="18" spans="2:7" x14ac:dyDescent="0.3">
      <c r="B18" s="28" t="s">
        <v>144</v>
      </c>
      <c r="C18" s="28">
        <v>18.899999999999999</v>
      </c>
      <c r="D18" s="48">
        <v>9</v>
      </c>
      <c r="E18" s="28">
        <v>474</v>
      </c>
      <c r="F18" s="28"/>
      <c r="G18" s="28" t="s">
        <v>168</v>
      </c>
    </row>
    <row r="19" spans="2:7" x14ac:dyDescent="0.3">
      <c r="B19" s="25" t="s">
        <v>132</v>
      </c>
      <c r="C19" s="25">
        <v>18.8</v>
      </c>
      <c r="D19" s="48">
        <v>11.9</v>
      </c>
      <c r="E19" s="25">
        <v>3256</v>
      </c>
      <c r="F19" s="25"/>
      <c r="G19" s="25" t="s">
        <v>168</v>
      </c>
    </row>
    <row r="20" spans="2:7" x14ac:dyDescent="0.3">
      <c r="B20" s="28" t="s">
        <v>136</v>
      </c>
      <c r="C20" s="28">
        <v>17.8</v>
      </c>
      <c r="D20" s="48">
        <v>9.1</v>
      </c>
      <c r="E20" s="28">
        <v>1593</v>
      </c>
      <c r="F20" s="28"/>
      <c r="G20" s="28" t="s">
        <v>168</v>
      </c>
    </row>
    <row r="21" spans="2:7" x14ac:dyDescent="0.3">
      <c r="B21" s="25" t="s">
        <v>139</v>
      </c>
      <c r="C21" s="25">
        <v>17.5</v>
      </c>
      <c r="D21" s="48">
        <v>6.1</v>
      </c>
      <c r="E21" s="25">
        <v>886</v>
      </c>
      <c r="F21" s="25"/>
      <c r="G21" s="25" t="s">
        <v>168</v>
      </c>
    </row>
    <row r="22" spans="2:7" x14ac:dyDescent="0.3">
      <c r="B22" s="28" t="s">
        <v>147</v>
      </c>
      <c r="C22" s="28">
        <v>17</v>
      </c>
      <c r="D22" s="48">
        <v>9.6999999999999993</v>
      </c>
      <c r="E22" s="28">
        <v>274</v>
      </c>
      <c r="F22" s="28"/>
      <c r="G22" s="28" t="s">
        <v>168</v>
      </c>
    </row>
    <row r="23" spans="2:7" x14ac:dyDescent="0.3">
      <c r="B23" s="25" t="s">
        <v>134</v>
      </c>
      <c r="C23" s="25">
        <v>15.2</v>
      </c>
      <c r="D23" s="48">
        <v>10.7</v>
      </c>
      <c r="E23" s="25">
        <v>1995</v>
      </c>
      <c r="F23" s="25"/>
      <c r="G23" s="25" t="s">
        <v>168</v>
      </c>
    </row>
    <row r="24" spans="2:7" x14ac:dyDescent="0.3">
      <c r="B24" s="28" t="s">
        <v>141</v>
      </c>
      <c r="C24" s="28">
        <v>15.1</v>
      </c>
      <c r="D24" s="48">
        <v>9</v>
      </c>
      <c r="E24" s="28">
        <v>701</v>
      </c>
      <c r="F24" s="28"/>
      <c r="G24" s="28" t="s">
        <v>168</v>
      </c>
    </row>
    <row r="25" spans="2:7" x14ac:dyDescent="0.3">
      <c r="B25" s="25" t="s">
        <v>135</v>
      </c>
      <c r="C25" s="25">
        <v>14.9</v>
      </c>
      <c r="D25" s="48">
        <v>6.2</v>
      </c>
      <c r="E25" s="25">
        <v>1957</v>
      </c>
      <c r="F25" s="25"/>
      <c r="G25" s="25" t="s">
        <v>168</v>
      </c>
    </row>
    <row r="26" spans="2:7" x14ac:dyDescent="0.3">
      <c r="B26" s="28" t="s">
        <v>129</v>
      </c>
      <c r="C26" s="28">
        <v>14.7</v>
      </c>
      <c r="D26" s="48">
        <v>5.8</v>
      </c>
      <c r="E26" s="28">
        <v>5345</v>
      </c>
      <c r="F26" s="28"/>
      <c r="G26" s="28" t="s">
        <v>168</v>
      </c>
    </row>
    <row r="27" spans="2:7" x14ac:dyDescent="0.3">
      <c r="B27" s="25" t="s">
        <v>127</v>
      </c>
      <c r="C27" s="25">
        <v>14.7</v>
      </c>
      <c r="D27" s="48">
        <v>11.6</v>
      </c>
      <c r="E27" s="25">
        <v>12350</v>
      </c>
      <c r="F27" s="25"/>
      <c r="G27" s="25" t="s">
        <v>168</v>
      </c>
    </row>
    <row r="28" spans="2:7" x14ac:dyDescent="0.3">
      <c r="B28" s="28" t="s">
        <v>131</v>
      </c>
      <c r="C28" s="28">
        <v>14.5</v>
      </c>
      <c r="D28" s="48">
        <v>8.1999999999999993</v>
      </c>
      <c r="E28" s="28">
        <v>3546</v>
      </c>
      <c r="F28" s="28"/>
      <c r="G28" s="28" t="s">
        <v>168</v>
      </c>
    </row>
    <row r="29" spans="2:7" x14ac:dyDescent="0.3">
      <c r="B29" s="25" t="s">
        <v>133</v>
      </c>
      <c r="C29" s="25">
        <v>12.5</v>
      </c>
      <c r="D29" s="49">
        <v>6</v>
      </c>
      <c r="E29" s="25">
        <v>2080</v>
      </c>
      <c r="F29" s="25"/>
      <c r="G29" s="25" t="s">
        <v>169</v>
      </c>
    </row>
    <row r="30" spans="2:7" x14ac:dyDescent="0.3">
      <c r="B30" s="28" t="s">
        <v>128</v>
      </c>
      <c r="C30" s="28">
        <v>11.5</v>
      </c>
      <c r="D30" s="49">
        <v>4.4000000000000004</v>
      </c>
      <c r="E30" s="28">
        <v>11354</v>
      </c>
      <c r="F30" s="28"/>
      <c r="G30" s="28" t="s">
        <v>169</v>
      </c>
    </row>
    <row r="31" spans="2:7" x14ac:dyDescent="0.3">
      <c r="B31" s="25" t="s">
        <v>130</v>
      </c>
      <c r="C31" s="25">
        <v>11.5</v>
      </c>
      <c r="D31" s="49">
        <v>3.9</v>
      </c>
      <c r="E31" s="25">
        <v>4923</v>
      </c>
      <c r="F31" s="25"/>
      <c r="G31" s="25" t="s">
        <v>169</v>
      </c>
    </row>
    <row r="32" spans="2:7" x14ac:dyDescent="0.3">
      <c r="B32" s="28" t="s">
        <v>126</v>
      </c>
      <c r="C32" s="28">
        <v>8.3000000000000007</v>
      </c>
      <c r="D32" s="49">
        <v>4.4000000000000004</v>
      </c>
      <c r="E32" s="28">
        <v>40501</v>
      </c>
      <c r="F32" s="28"/>
      <c r="G32" s="28" t="s">
        <v>169</v>
      </c>
    </row>
    <row r="34" spans="2:5" ht="19.5" customHeight="1" x14ac:dyDescent="0.3">
      <c r="B34" s="75" t="s">
        <v>170</v>
      </c>
      <c r="C34" s="75"/>
      <c r="D34" s="75"/>
      <c r="E34" s="75"/>
    </row>
    <row r="35" spans="2:5" ht="18" customHeight="1" x14ac:dyDescent="0.3">
      <c r="B35" s="16" t="s">
        <v>60</v>
      </c>
      <c r="C35" s="16" t="s">
        <v>164</v>
      </c>
      <c r="D35" s="16" t="s">
        <v>87</v>
      </c>
      <c r="E35" s="16" t="s">
        <v>171</v>
      </c>
    </row>
    <row r="36" spans="2:5" x14ac:dyDescent="0.3">
      <c r="B36" s="25" t="s">
        <v>63</v>
      </c>
      <c r="C36" s="25">
        <v>12.1</v>
      </c>
      <c r="D36" s="25">
        <v>750</v>
      </c>
      <c r="E36" s="25" t="s">
        <v>172</v>
      </c>
    </row>
    <row r="37" spans="2:5" x14ac:dyDescent="0.3">
      <c r="B37" s="28" t="s">
        <v>64</v>
      </c>
      <c r="C37" s="28">
        <v>12.6</v>
      </c>
      <c r="D37" s="28">
        <v>1653</v>
      </c>
      <c r="E37" s="28" t="s">
        <v>172</v>
      </c>
    </row>
    <row r="38" spans="2:5" x14ac:dyDescent="0.3">
      <c r="B38" s="25" t="s">
        <v>65</v>
      </c>
      <c r="C38" s="25">
        <v>12.4</v>
      </c>
      <c r="D38" s="25">
        <v>2546</v>
      </c>
      <c r="E38" s="25" t="s">
        <v>172</v>
      </c>
    </row>
    <row r="39" spans="2:5" x14ac:dyDescent="0.3">
      <c r="B39" s="28" t="s">
        <v>66</v>
      </c>
      <c r="C39" s="28">
        <v>14.3</v>
      </c>
      <c r="D39" s="28">
        <v>2303</v>
      </c>
      <c r="E39" s="28" t="s">
        <v>173</v>
      </c>
    </row>
    <row r="40" spans="2:5" x14ac:dyDescent="0.3">
      <c r="B40" s="25" t="s">
        <v>67</v>
      </c>
      <c r="C40" s="25">
        <v>10.9</v>
      </c>
      <c r="D40" s="25">
        <v>3546</v>
      </c>
      <c r="E40" s="25" t="s">
        <v>174</v>
      </c>
    </row>
    <row r="41" spans="2:5" x14ac:dyDescent="0.3">
      <c r="B41" s="28" t="s">
        <v>68</v>
      </c>
      <c r="C41" s="28">
        <v>11.5</v>
      </c>
      <c r="D41" s="28">
        <v>3135</v>
      </c>
      <c r="E41" s="28" t="s">
        <v>172</v>
      </c>
    </row>
    <row r="42" spans="2:5" x14ac:dyDescent="0.3">
      <c r="B42" s="25" t="s">
        <v>69</v>
      </c>
      <c r="C42" s="25">
        <v>11</v>
      </c>
      <c r="D42" s="25">
        <v>3872</v>
      </c>
      <c r="E42" s="25" t="s">
        <v>174</v>
      </c>
    </row>
    <row r="43" spans="2:5" x14ac:dyDescent="0.3">
      <c r="B43" s="28" t="s">
        <v>70</v>
      </c>
      <c r="C43" s="28">
        <v>10.5</v>
      </c>
      <c r="D43" s="28">
        <v>4193</v>
      </c>
      <c r="E43" s="28" t="s">
        <v>174</v>
      </c>
    </row>
    <row r="44" spans="2:5" x14ac:dyDescent="0.3">
      <c r="B44" s="25" t="s">
        <v>71</v>
      </c>
      <c r="C44" s="25">
        <v>11.4</v>
      </c>
      <c r="D44" s="25">
        <v>4150</v>
      </c>
      <c r="E44" s="25" t="s">
        <v>172</v>
      </c>
    </row>
    <row r="45" spans="2:5" x14ac:dyDescent="0.3">
      <c r="B45" s="28" t="s">
        <v>72</v>
      </c>
      <c r="C45" s="28">
        <v>11.3</v>
      </c>
      <c r="D45" s="28">
        <v>4478</v>
      </c>
      <c r="E45" s="28" t="s">
        <v>172</v>
      </c>
    </row>
    <row r="46" spans="2:5" x14ac:dyDescent="0.3">
      <c r="B46" s="25" t="s">
        <v>73</v>
      </c>
      <c r="C46" s="25">
        <v>14.6</v>
      </c>
      <c r="D46" s="25">
        <v>7289</v>
      </c>
      <c r="E46" s="25" t="s">
        <v>173</v>
      </c>
    </row>
    <row r="47" spans="2:5" x14ac:dyDescent="0.3">
      <c r="B47" s="28" t="s">
        <v>74</v>
      </c>
      <c r="C47" s="28">
        <v>14.8</v>
      </c>
      <c r="D47" s="28">
        <v>5513</v>
      </c>
      <c r="E47" s="28" t="s">
        <v>173</v>
      </c>
    </row>
    <row r="48" spans="2:5" x14ac:dyDescent="0.3">
      <c r="B48" s="25" t="s">
        <v>75</v>
      </c>
      <c r="C48" s="25">
        <v>13.7</v>
      </c>
      <c r="D48" s="25">
        <v>7069</v>
      </c>
      <c r="E48" s="25" t="s">
        <v>172</v>
      </c>
    </row>
    <row r="49" spans="2:5" x14ac:dyDescent="0.3">
      <c r="B49" s="28" t="s">
        <v>76</v>
      </c>
      <c r="C49" s="28">
        <v>16.5</v>
      </c>
      <c r="D49" s="28">
        <v>6555</v>
      </c>
      <c r="E49" s="28" t="s">
        <v>173</v>
      </c>
    </row>
    <row r="50" spans="2:5" x14ac:dyDescent="0.3">
      <c r="B50" s="25" t="s">
        <v>77</v>
      </c>
      <c r="C50" s="25">
        <v>15.6</v>
      </c>
      <c r="D50" s="25">
        <v>7003</v>
      </c>
      <c r="E50" s="25" t="s">
        <v>173</v>
      </c>
    </row>
    <row r="51" spans="2:5" x14ac:dyDescent="0.3">
      <c r="B51" s="28" t="s">
        <v>78</v>
      </c>
      <c r="C51" s="28">
        <v>10.9</v>
      </c>
      <c r="D51" s="28">
        <v>6798</v>
      </c>
      <c r="E51" s="28" t="s">
        <v>174</v>
      </c>
    </row>
    <row r="52" spans="2:5" x14ac:dyDescent="0.3">
      <c r="B52" s="25" t="s">
        <v>79</v>
      </c>
      <c r="C52" s="25">
        <v>10.9</v>
      </c>
      <c r="D52" s="25">
        <v>6749</v>
      </c>
      <c r="E52" s="25" t="s">
        <v>174</v>
      </c>
    </row>
    <row r="53" spans="2:5" x14ac:dyDescent="0.3">
      <c r="B53" s="28" t="s">
        <v>80</v>
      </c>
      <c r="C53" s="28">
        <v>8.6</v>
      </c>
      <c r="D53" s="28">
        <v>6099</v>
      </c>
      <c r="E53" s="28" t="s">
        <v>174</v>
      </c>
    </row>
    <row r="54" spans="2:5" x14ac:dyDescent="0.3">
      <c r="B54" s="25" t="s">
        <v>81</v>
      </c>
      <c r="C54" s="25">
        <v>8.4</v>
      </c>
      <c r="D54" s="25">
        <v>6159</v>
      </c>
      <c r="E54" s="25" t="s">
        <v>174</v>
      </c>
    </row>
    <row r="55" spans="2:5" x14ac:dyDescent="0.3">
      <c r="B55" s="28" t="s">
        <v>82</v>
      </c>
      <c r="C55" s="28">
        <v>7.3</v>
      </c>
      <c r="D55" s="28">
        <v>6351</v>
      </c>
      <c r="E55" s="28" t="s">
        <v>174</v>
      </c>
    </row>
    <row r="57" spans="2:5" ht="19.5" customHeight="1" x14ac:dyDescent="0.3">
      <c r="B57" s="73" t="s">
        <v>175</v>
      </c>
      <c r="C57" s="73"/>
      <c r="D57" s="73"/>
    </row>
    <row r="58" spans="2:5" ht="18" customHeight="1" x14ac:dyDescent="0.3">
      <c r="B58" s="50" t="s">
        <v>176</v>
      </c>
      <c r="C58" s="50" t="s">
        <v>87</v>
      </c>
      <c r="D58" s="50" t="s">
        <v>177</v>
      </c>
    </row>
    <row r="59" spans="2:5" x14ac:dyDescent="0.3">
      <c r="B59" s="25">
        <v>0</v>
      </c>
      <c r="C59" s="25">
        <v>18</v>
      </c>
      <c r="D59" s="25">
        <v>0</v>
      </c>
    </row>
    <row r="60" spans="2:5" x14ac:dyDescent="0.3">
      <c r="B60" s="28">
        <v>1</v>
      </c>
      <c r="C60" s="28">
        <v>1828</v>
      </c>
      <c r="D60" s="28">
        <v>1.7</v>
      </c>
    </row>
    <row r="61" spans="2:5" x14ac:dyDescent="0.3">
      <c r="B61" s="25">
        <v>2</v>
      </c>
      <c r="C61" s="25">
        <v>3683</v>
      </c>
      <c r="D61" s="25">
        <v>3.3</v>
      </c>
    </row>
    <row r="62" spans="2:5" x14ac:dyDescent="0.3">
      <c r="B62" s="28">
        <v>3</v>
      </c>
      <c r="C62" s="28">
        <v>4420</v>
      </c>
      <c r="D62" s="28">
        <v>4</v>
      </c>
    </row>
    <row r="63" spans="2:5" x14ac:dyDescent="0.3">
      <c r="B63" s="25">
        <v>4</v>
      </c>
      <c r="C63" s="25">
        <v>5601</v>
      </c>
      <c r="D63" s="25">
        <v>5.0999999999999996</v>
      </c>
    </row>
    <row r="64" spans="2:5" x14ac:dyDescent="0.3">
      <c r="B64" s="28">
        <v>5</v>
      </c>
      <c r="C64" s="28">
        <v>6655</v>
      </c>
      <c r="D64" s="28">
        <v>6</v>
      </c>
    </row>
    <row r="65" spans="2:4" x14ac:dyDescent="0.3">
      <c r="B65" s="25">
        <v>6</v>
      </c>
      <c r="C65" s="25">
        <v>7763</v>
      </c>
      <c r="D65" s="25">
        <v>7</v>
      </c>
    </row>
    <row r="66" spans="2:4" x14ac:dyDescent="0.3">
      <c r="B66" s="28">
        <v>7</v>
      </c>
      <c r="C66" s="28">
        <v>8752</v>
      </c>
      <c r="D66" s="28">
        <v>7.9</v>
      </c>
    </row>
    <row r="67" spans="2:4" x14ac:dyDescent="0.3">
      <c r="B67" s="25">
        <v>8</v>
      </c>
      <c r="C67" s="25">
        <v>7720</v>
      </c>
      <c r="D67" s="25">
        <v>7</v>
      </c>
    </row>
    <row r="68" spans="2:4" x14ac:dyDescent="0.3">
      <c r="B68" s="28">
        <v>9</v>
      </c>
      <c r="C68" s="28">
        <v>6884</v>
      </c>
      <c r="D68" s="28">
        <v>6.2</v>
      </c>
    </row>
    <row r="69" spans="2:4" x14ac:dyDescent="0.3">
      <c r="B69" s="25">
        <v>10</v>
      </c>
      <c r="C69" s="25">
        <v>6510</v>
      </c>
      <c r="D69" s="25">
        <v>5.9</v>
      </c>
    </row>
    <row r="70" spans="2:4" x14ac:dyDescent="0.3">
      <c r="B70" s="28">
        <v>11</v>
      </c>
      <c r="C70" s="28">
        <v>5881</v>
      </c>
      <c r="D70" s="28">
        <v>5.3</v>
      </c>
    </row>
    <row r="71" spans="2:4" x14ac:dyDescent="0.3">
      <c r="B71" s="25">
        <v>12</v>
      </c>
      <c r="C71" s="25">
        <v>5345</v>
      </c>
      <c r="D71" s="25">
        <v>4.9000000000000004</v>
      </c>
    </row>
    <row r="72" spans="2:4" x14ac:dyDescent="0.3">
      <c r="B72" s="28">
        <v>13</v>
      </c>
      <c r="C72" s="28">
        <v>4971</v>
      </c>
      <c r="D72" s="28">
        <v>4.5</v>
      </c>
    </row>
    <row r="73" spans="2:4" x14ac:dyDescent="0.3">
      <c r="B73" s="25">
        <v>14</v>
      </c>
      <c r="C73" s="25">
        <v>4405</v>
      </c>
      <c r="D73" s="25">
        <v>4</v>
      </c>
    </row>
    <row r="74" spans="2:4" x14ac:dyDescent="0.3">
      <c r="B74" s="28">
        <v>15</v>
      </c>
      <c r="C74" s="28">
        <v>3623</v>
      </c>
      <c r="D74" s="28">
        <v>3.3</v>
      </c>
    </row>
    <row r="75" spans="2:4" x14ac:dyDescent="0.3">
      <c r="B75" s="25">
        <v>16</v>
      </c>
      <c r="C75" s="25">
        <v>2971</v>
      </c>
      <c r="D75" s="25">
        <v>2.7</v>
      </c>
    </row>
    <row r="76" spans="2:4" x14ac:dyDescent="0.3">
      <c r="B76" s="28">
        <v>17</v>
      </c>
      <c r="C76" s="28">
        <v>2683</v>
      </c>
      <c r="D76" s="28">
        <v>2.4</v>
      </c>
    </row>
    <row r="77" spans="2:4" x14ac:dyDescent="0.3">
      <c r="B77" s="25">
        <v>18</v>
      </c>
      <c r="C77" s="25">
        <v>2477</v>
      </c>
      <c r="D77" s="25">
        <v>2.2000000000000002</v>
      </c>
    </row>
    <row r="78" spans="2:4" x14ac:dyDescent="0.3">
      <c r="B78" s="28">
        <v>19</v>
      </c>
      <c r="C78" s="28">
        <v>2095</v>
      </c>
      <c r="D78" s="28">
        <v>1.9</v>
      </c>
    </row>
    <row r="79" spans="2:4" x14ac:dyDescent="0.3">
      <c r="B79" s="25">
        <v>20</v>
      </c>
      <c r="C79" s="25">
        <v>1937</v>
      </c>
      <c r="D79" s="25">
        <v>1.8</v>
      </c>
    </row>
    <row r="80" spans="2:4" x14ac:dyDescent="0.3">
      <c r="B80" s="28">
        <v>21</v>
      </c>
      <c r="C80" s="28">
        <v>1693</v>
      </c>
      <c r="D80" s="28">
        <v>1.5</v>
      </c>
    </row>
    <row r="81" spans="2:4" x14ac:dyDescent="0.3">
      <c r="B81" s="25">
        <v>22</v>
      </c>
      <c r="C81" s="25">
        <v>1380</v>
      </c>
      <c r="D81" s="25">
        <v>1.3</v>
      </c>
    </row>
    <row r="82" spans="2:4" x14ac:dyDescent="0.3">
      <c r="B82" s="28">
        <v>23</v>
      </c>
      <c r="C82" s="28">
        <v>1191</v>
      </c>
      <c r="D82" s="28">
        <v>1.1000000000000001</v>
      </c>
    </row>
    <row r="83" spans="2:4" x14ac:dyDescent="0.3">
      <c r="B83" s="25">
        <v>24</v>
      </c>
      <c r="C83" s="25">
        <v>1053</v>
      </c>
      <c r="D83" s="25">
        <v>1</v>
      </c>
    </row>
    <row r="84" spans="2:4" x14ac:dyDescent="0.3">
      <c r="B84" s="28">
        <v>25</v>
      </c>
      <c r="C84" s="28">
        <v>918</v>
      </c>
      <c r="D84" s="28">
        <v>0.8</v>
      </c>
    </row>
    <row r="85" spans="2:4" x14ac:dyDescent="0.3">
      <c r="B85" s="25">
        <v>26</v>
      </c>
      <c r="C85" s="25">
        <v>788</v>
      </c>
      <c r="D85" s="25">
        <v>0.7</v>
      </c>
    </row>
    <row r="86" spans="2:4" x14ac:dyDescent="0.3">
      <c r="B86" s="28">
        <v>27</v>
      </c>
      <c r="C86" s="28">
        <v>732</v>
      </c>
      <c r="D86" s="28">
        <v>0.7</v>
      </c>
    </row>
    <row r="87" spans="2:4" x14ac:dyDescent="0.3">
      <c r="B87" s="25">
        <v>28</v>
      </c>
      <c r="C87" s="25">
        <v>655</v>
      </c>
      <c r="D87" s="25">
        <v>0.6</v>
      </c>
    </row>
    <row r="88" spans="2:4" x14ac:dyDescent="0.3">
      <c r="B88" s="28">
        <v>29</v>
      </c>
      <c r="C88" s="28">
        <v>518</v>
      </c>
      <c r="D88" s="28">
        <v>0.5</v>
      </c>
    </row>
    <row r="89" spans="2:4" x14ac:dyDescent="0.3">
      <c r="B89" s="25">
        <v>30</v>
      </c>
      <c r="C89" s="25">
        <v>481</v>
      </c>
      <c r="D89" s="25">
        <v>0.4</v>
      </c>
    </row>
    <row r="90" spans="2:4" x14ac:dyDescent="0.3">
      <c r="B90" s="28">
        <v>31</v>
      </c>
      <c r="C90" s="28">
        <v>399</v>
      </c>
      <c r="D90" s="28">
        <v>0.4</v>
      </c>
    </row>
    <row r="91" spans="2:4" x14ac:dyDescent="0.3">
      <c r="B91" s="25">
        <v>32</v>
      </c>
      <c r="C91" s="25">
        <v>376</v>
      </c>
      <c r="D91" s="25">
        <v>0.3</v>
      </c>
    </row>
    <row r="92" spans="2:4" x14ac:dyDescent="0.3">
      <c r="B92" s="28">
        <v>33</v>
      </c>
      <c r="C92" s="28">
        <v>354</v>
      </c>
      <c r="D92" s="28">
        <v>0.3</v>
      </c>
    </row>
    <row r="93" spans="2:4" x14ac:dyDescent="0.3">
      <c r="B93" s="25">
        <v>34</v>
      </c>
      <c r="C93" s="25">
        <v>319</v>
      </c>
      <c r="D93" s="25">
        <v>0.3</v>
      </c>
    </row>
    <row r="94" spans="2:4" x14ac:dyDescent="0.3">
      <c r="B94" s="28">
        <v>35</v>
      </c>
      <c r="C94" s="28">
        <v>319</v>
      </c>
      <c r="D94" s="28">
        <v>0.3</v>
      </c>
    </row>
  </sheetData>
  <mergeCells count="4">
    <mergeCell ref="B1:G1"/>
    <mergeCell ref="B7:G7"/>
    <mergeCell ref="B34:E34"/>
    <mergeCell ref="B57:D57"/>
  </mergeCells>
  <conditionalFormatting sqref="C9:C32">
    <cfRule type="colorScale" priority="2">
      <colorScale>
        <cfvo type="min"/>
        <cfvo type="percentile" val="50"/>
        <cfvo type="max"/>
        <color rgb="FF1E8449"/>
        <color rgb="FFF9E79F"/>
        <color rgb="FFC0392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4"/>
  <sheetViews>
    <sheetView showGridLines="0" topLeftCell="A5" zoomScale="90" zoomScaleNormal="90" workbookViewId="0">
      <selection activeCell="N34" sqref="N34"/>
    </sheetView>
  </sheetViews>
  <sheetFormatPr defaultColWidth="8.6640625" defaultRowHeight="14.4" x14ac:dyDescent="0.3"/>
  <cols>
    <col min="1" max="1" width="2" customWidth="1"/>
    <col min="2" max="2" width="22" customWidth="1"/>
    <col min="3" max="3" width="18" customWidth="1"/>
    <col min="4" max="5" width="16" customWidth="1"/>
    <col min="6" max="7" width="14" customWidth="1"/>
    <col min="8" max="8" width="2" customWidth="1"/>
  </cols>
  <sheetData>
    <row r="1" spans="2:7" ht="37.5" customHeight="1" x14ac:dyDescent="0.3">
      <c r="B1" s="71" t="s">
        <v>178</v>
      </c>
      <c r="C1" s="71"/>
      <c r="D1" s="71"/>
      <c r="E1" s="71"/>
      <c r="F1" s="71"/>
      <c r="G1" s="71"/>
    </row>
    <row r="2" spans="2:7" ht="6" customHeight="1" x14ac:dyDescent="0.3"/>
    <row r="3" spans="2:7" ht="19.5" customHeight="1" x14ac:dyDescent="0.3">
      <c r="B3" s="78" t="s">
        <v>179</v>
      </c>
      <c r="C3" s="78"/>
      <c r="D3" s="78"/>
      <c r="E3" s="78"/>
      <c r="F3" s="78"/>
      <c r="G3" s="78"/>
    </row>
    <row r="4" spans="2:7" ht="18" customHeight="1" x14ac:dyDescent="0.3">
      <c r="B4" s="51" t="s">
        <v>180</v>
      </c>
      <c r="C4" s="51" t="s">
        <v>181</v>
      </c>
      <c r="D4" s="51" t="s">
        <v>182</v>
      </c>
      <c r="E4" s="51" t="s">
        <v>183</v>
      </c>
      <c r="F4" s="51" t="s">
        <v>90</v>
      </c>
    </row>
    <row r="5" spans="2:7" x14ac:dyDescent="0.3">
      <c r="B5" s="25" t="s">
        <v>184</v>
      </c>
      <c r="C5" s="26">
        <v>2869361</v>
      </c>
      <c r="D5" s="26">
        <v>19784</v>
      </c>
      <c r="E5" s="31">
        <v>145.03</v>
      </c>
      <c r="F5" s="45">
        <v>17.899999999999999</v>
      </c>
    </row>
    <row r="6" spans="2:7" x14ac:dyDescent="0.3">
      <c r="B6" s="28" t="s">
        <v>185</v>
      </c>
      <c r="C6" s="29">
        <v>12542084</v>
      </c>
      <c r="D6" s="29">
        <v>76795</v>
      </c>
      <c r="E6" s="33">
        <v>163.32</v>
      </c>
      <c r="F6" s="46">
        <v>78.3</v>
      </c>
    </row>
    <row r="7" spans="2:7" x14ac:dyDescent="0.3">
      <c r="B7" s="25" t="s">
        <v>186</v>
      </c>
      <c r="C7" s="26">
        <v>217990</v>
      </c>
      <c r="D7" s="26">
        <v>1529</v>
      </c>
      <c r="E7" s="31">
        <v>142.57</v>
      </c>
      <c r="F7" s="45">
        <v>1.4</v>
      </c>
    </row>
    <row r="8" spans="2:7" x14ac:dyDescent="0.3">
      <c r="B8" s="28" t="s">
        <v>187</v>
      </c>
      <c r="C8" s="29">
        <v>379437</v>
      </c>
      <c r="D8" s="29">
        <v>5775</v>
      </c>
      <c r="E8" s="33">
        <v>65.7</v>
      </c>
      <c r="F8" s="46">
        <v>2.4</v>
      </c>
    </row>
    <row r="10" spans="2:7" ht="19.5" customHeight="1" x14ac:dyDescent="0.3">
      <c r="B10" s="74" t="s">
        <v>188</v>
      </c>
      <c r="C10" s="74"/>
      <c r="D10" s="74"/>
      <c r="E10" s="74"/>
      <c r="F10" s="74"/>
    </row>
    <row r="11" spans="2:7" ht="18" customHeight="1" x14ac:dyDescent="0.3">
      <c r="B11" s="24" t="s">
        <v>189</v>
      </c>
      <c r="C11" s="24" t="s">
        <v>182</v>
      </c>
      <c r="D11" s="24" t="s">
        <v>61</v>
      </c>
      <c r="E11" s="24" t="s">
        <v>190</v>
      </c>
    </row>
    <row r="12" spans="2:7" x14ac:dyDescent="0.3">
      <c r="B12" s="25">
        <v>0</v>
      </c>
      <c r="C12" s="26">
        <v>2</v>
      </c>
      <c r="D12" s="31">
        <v>94.31</v>
      </c>
      <c r="E12" s="45">
        <v>0</v>
      </c>
    </row>
    <row r="13" spans="2:7" x14ac:dyDescent="0.3">
      <c r="B13" s="28">
        <v>1</v>
      </c>
      <c r="C13" s="29">
        <v>25455</v>
      </c>
      <c r="D13" s="33">
        <v>95.87</v>
      </c>
      <c r="E13" s="46">
        <v>33.200000000000003</v>
      </c>
    </row>
    <row r="14" spans="2:7" x14ac:dyDescent="0.3">
      <c r="B14" s="25">
        <v>2</v>
      </c>
      <c r="C14" s="26">
        <v>12413</v>
      </c>
      <c r="D14" s="31">
        <v>127.23</v>
      </c>
      <c r="E14" s="45">
        <v>49.4</v>
      </c>
    </row>
    <row r="15" spans="2:7" x14ac:dyDescent="0.3">
      <c r="B15" s="28">
        <v>3</v>
      </c>
      <c r="C15" s="29">
        <v>10461</v>
      </c>
      <c r="D15" s="33">
        <v>142.54</v>
      </c>
      <c r="E15" s="46">
        <v>63.1</v>
      </c>
    </row>
    <row r="16" spans="2:7" x14ac:dyDescent="0.3">
      <c r="B16" s="25">
        <v>4</v>
      </c>
      <c r="C16" s="26">
        <v>7098</v>
      </c>
      <c r="D16" s="31">
        <v>163.98</v>
      </c>
      <c r="E16" s="45">
        <v>72.400000000000006</v>
      </c>
    </row>
    <row r="17" spans="2:5" x14ac:dyDescent="0.3">
      <c r="B17" s="28">
        <v>5</v>
      </c>
      <c r="C17" s="29">
        <v>5239</v>
      </c>
      <c r="D17" s="33">
        <v>183.47</v>
      </c>
      <c r="E17" s="46">
        <v>79.2</v>
      </c>
    </row>
    <row r="18" spans="2:5" x14ac:dyDescent="0.3">
      <c r="B18" s="25">
        <v>6</v>
      </c>
      <c r="C18" s="26">
        <v>3920</v>
      </c>
      <c r="D18" s="31">
        <v>209.85</v>
      </c>
      <c r="E18" s="45">
        <v>84.3</v>
      </c>
    </row>
    <row r="19" spans="2:5" x14ac:dyDescent="0.3">
      <c r="B19" s="28">
        <v>7</v>
      </c>
      <c r="C19" s="29">
        <v>1626</v>
      </c>
      <c r="D19" s="33">
        <v>187.67</v>
      </c>
      <c r="E19" s="46">
        <v>86.4</v>
      </c>
    </row>
    <row r="20" spans="2:5" x14ac:dyDescent="0.3">
      <c r="B20" s="25">
        <v>8</v>
      </c>
      <c r="C20" s="26">
        <v>4268</v>
      </c>
      <c r="D20" s="31">
        <v>307.74</v>
      </c>
      <c r="E20" s="45">
        <v>92</v>
      </c>
    </row>
    <row r="21" spans="2:5" x14ac:dyDescent="0.3">
      <c r="B21" s="28">
        <v>9</v>
      </c>
      <c r="C21" s="29">
        <v>644</v>
      </c>
      <c r="D21" s="33">
        <v>203.44</v>
      </c>
      <c r="E21" s="46">
        <v>92.8</v>
      </c>
    </row>
    <row r="22" spans="2:5" x14ac:dyDescent="0.3">
      <c r="B22" s="25">
        <v>10</v>
      </c>
      <c r="C22" s="26">
        <v>5328</v>
      </c>
      <c r="D22" s="31">
        <v>415.09</v>
      </c>
      <c r="E22" s="45">
        <v>99.8</v>
      </c>
    </row>
    <row r="23" spans="2:5" x14ac:dyDescent="0.3">
      <c r="B23" s="28">
        <v>11</v>
      </c>
      <c r="C23" s="29">
        <v>23</v>
      </c>
      <c r="D23" s="33">
        <v>124.93</v>
      </c>
      <c r="E23" s="46">
        <v>99.8</v>
      </c>
    </row>
    <row r="24" spans="2:5" x14ac:dyDescent="0.3">
      <c r="B24" s="25">
        <v>12</v>
      </c>
      <c r="C24" s="26">
        <v>133</v>
      </c>
      <c r="D24" s="31">
        <v>321.68</v>
      </c>
      <c r="E24" s="45">
        <v>100</v>
      </c>
    </row>
  </sheetData>
  <mergeCells count="3">
    <mergeCell ref="B1:G1"/>
    <mergeCell ref="B3:G3"/>
    <mergeCell ref="B10:F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37"/>
  <sheetViews>
    <sheetView showGridLines="0" topLeftCell="A24" zoomScale="90" zoomScaleNormal="90" workbookViewId="0">
      <selection activeCell="K9" sqref="K9"/>
    </sheetView>
  </sheetViews>
  <sheetFormatPr defaultColWidth="8.6640625" defaultRowHeight="14.4" x14ac:dyDescent="0.3"/>
  <cols>
    <col min="1" max="1" width="2" customWidth="1"/>
    <col min="2" max="2" width="28" customWidth="1"/>
    <col min="3" max="4" width="14" customWidth="1"/>
    <col min="5" max="5" width="31.5546875" bestFit="1" customWidth="1"/>
    <col min="6" max="6" width="18" customWidth="1"/>
    <col min="7" max="7" width="14" customWidth="1"/>
    <col min="8" max="8" width="2" customWidth="1"/>
  </cols>
  <sheetData>
    <row r="1" spans="2:7" ht="37.5" customHeight="1" x14ac:dyDescent="0.3">
      <c r="B1" s="71" t="s">
        <v>191</v>
      </c>
      <c r="C1" s="71"/>
      <c r="D1" s="71"/>
      <c r="E1" s="71"/>
      <c r="F1" s="71"/>
      <c r="G1" s="71"/>
    </row>
    <row r="2" spans="2:7" ht="6" customHeight="1" x14ac:dyDescent="0.3"/>
    <row r="3" spans="2:7" ht="19.5" customHeight="1" x14ac:dyDescent="0.3">
      <c r="B3" s="79" t="s">
        <v>192</v>
      </c>
      <c r="C3" s="79"/>
      <c r="D3" s="79"/>
      <c r="E3" s="79"/>
    </row>
    <row r="4" spans="2:7" ht="18" customHeight="1" x14ac:dyDescent="0.3">
      <c r="B4" s="52" t="s">
        <v>193</v>
      </c>
      <c r="C4" s="52" t="s">
        <v>194</v>
      </c>
      <c r="D4" s="52" t="s">
        <v>195</v>
      </c>
      <c r="E4" s="52" t="s">
        <v>196</v>
      </c>
    </row>
    <row r="5" spans="2:7" x14ac:dyDescent="0.3">
      <c r="B5" s="47">
        <v>1</v>
      </c>
      <c r="C5" s="47">
        <v>11424</v>
      </c>
      <c r="D5" s="47">
        <v>11.5</v>
      </c>
      <c r="E5" s="53" t="s">
        <v>197</v>
      </c>
    </row>
    <row r="6" spans="2:7" x14ac:dyDescent="0.3">
      <c r="B6" s="54">
        <v>2</v>
      </c>
      <c r="C6" s="54">
        <v>3151</v>
      </c>
      <c r="D6" s="54">
        <v>3.2</v>
      </c>
      <c r="E6" s="55" t="s">
        <v>198</v>
      </c>
    </row>
    <row r="7" spans="2:7" x14ac:dyDescent="0.3">
      <c r="B7" s="56">
        <v>3</v>
      </c>
      <c r="C7" s="56">
        <v>8179</v>
      </c>
      <c r="D7" s="56">
        <v>8.1999999999999993</v>
      </c>
      <c r="E7" s="57" t="s">
        <v>199</v>
      </c>
    </row>
    <row r="8" spans="2:7" x14ac:dyDescent="0.3">
      <c r="B8" s="58">
        <v>4</v>
      </c>
      <c r="C8" s="58">
        <v>19142</v>
      </c>
      <c r="D8" s="58">
        <v>19.3</v>
      </c>
      <c r="E8" s="59" t="s">
        <v>200</v>
      </c>
    </row>
    <row r="9" spans="2:7" x14ac:dyDescent="0.3">
      <c r="B9" s="49">
        <v>5</v>
      </c>
      <c r="C9" s="49">
        <v>57328</v>
      </c>
      <c r="D9" s="49">
        <v>57.8</v>
      </c>
      <c r="E9" s="60" t="s">
        <v>201</v>
      </c>
    </row>
    <row r="11" spans="2:7" ht="19.5" customHeight="1" x14ac:dyDescent="0.3">
      <c r="B11" s="80" t="s">
        <v>202</v>
      </c>
      <c r="C11" s="80"/>
      <c r="D11" s="80"/>
      <c r="E11" s="80"/>
    </row>
    <row r="12" spans="2:7" ht="18" customHeight="1" x14ac:dyDescent="0.3">
      <c r="B12" s="61" t="s">
        <v>86</v>
      </c>
      <c r="C12" s="61" t="s">
        <v>203</v>
      </c>
      <c r="D12" s="61" t="s">
        <v>204</v>
      </c>
      <c r="E12" s="61" t="s">
        <v>205</v>
      </c>
    </row>
    <row r="13" spans="2:7" ht="19.5" customHeight="1" x14ac:dyDescent="0.3">
      <c r="B13" s="62" t="s">
        <v>206</v>
      </c>
      <c r="C13" s="63">
        <v>4.21</v>
      </c>
      <c r="D13" s="62" t="s">
        <v>207</v>
      </c>
      <c r="E13" s="62" t="s">
        <v>208</v>
      </c>
    </row>
    <row r="14" spans="2:7" ht="19.5" customHeight="1" x14ac:dyDescent="0.3">
      <c r="B14" s="64" t="s">
        <v>209</v>
      </c>
      <c r="C14" s="65">
        <v>2.2599999999999998</v>
      </c>
      <c r="D14" s="64" t="s">
        <v>210</v>
      </c>
      <c r="E14" s="64" t="s">
        <v>211</v>
      </c>
    </row>
    <row r="16" spans="2:7" ht="19.5" customHeight="1" x14ac:dyDescent="0.3">
      <c r="B16" s="76" t="s">
        <v>212</v>
      </c>
      <c r="C16" s="76"/>
      <c r="D16" s="76"/>
      <c r="E16" s="76"/>
      <c r="F16" s="76"/>
      <c r="G16" s="76"/>
    </row>
    <row r="17" spans="2:7" ht="18" customHeight="1" x14ac:dyDescent="0.3">
      <c r="B17" s="38" t="s">
        <v>86</v>
      </c>
      <c r="C17" s="38" t="s">
        <v>89</v>
      </c>
      <c r="D17" s="38" t="s">
        <v>87</v>
      </c>
      <c r="E17" s="38" t="s">
        <v>213</v>
      </c>
      <c r="F17" s="38" t="s">
        <v>214</v>
      </c>
      <c r="G17" s="38" t="s">
        <v>215</v>
      </c>
    </row>
    <row r="18" spans="2:7" x14ac:dyDescent="0.3">
      <c r="B18" s="47" t="s">
        <v>106</v>
      </c>
      <c r="C18" s="47">
        <v>3.52</v>
      </c>
      <c r="D18" s="47">
        <v>1254</v>
      </c>
      <c r="E18" s="47">
        <v>20.3</v>
      </c>
      <c r="F18" s="47">
        <v>37</v>
      </c>
      <c r="G18" s="47" t="s">
        <v>216</v>
      </c>
    </row>
    <row r="19" spans="2:7" x14ac:dyDescent="0.3">
      <c r="B19" s="47" t="s">
        <v>217</v>
      </c>
      <c r="C19" s="47">
        <v>3.76</v>
      </c>
      <c r="D19" s="47">
        <v>212</v>
      </c>
      <c r="E19" s="47">
        <v>18</v>
      </c>
      <c r="F19" s="47">
        <v>47.1</v>
      </c>
      <c r="G19" s="47" t="s">
        <v>216</v>
      </c>
    </row>
    <row r="20" spans="2:7" x14ac:dyDescent="0.3">
      <c r="B20" s="47" t="s">
        <v>218</v>
      </c>
      <c r="C20" s="47">
        <v>3.76</v>
      </c>
      <c r="D20" s="47">
        <v>106</v>
      </c>
      <c r="E20" s="47">
        <v>22.4</v>
      </c>
      <c r="F20" s="47">
        <v>53.6</v>
      </c>
      <c r="G20" s="47" t="s">
        <v>216</v>
      </c>
    </row>
    <row r="21" spans="2:7" x14ac:dyDescent="0.3">
      <c r="B21" s="47" t="s">
        <v>219</v>
      </c>
      <c r="C21" s="47">
        <v>3.84</v>
      </c>
      <c r="D21" s="47">
        <v>348</v>
      </c>
      <c r="E21" s="47">
        <v>16.3</v>
      </c>
      <c r="F21" s="47">
        <v>52.2</v>
      </c>
      <c r="G21" s="47" t="s">
        <v>220</v>
      </c>
    </row>
    <row r="22" spans="2:7" x14ac:dyDescent="0.3">
      <c r="B22" s="47" t="s">
        <v>221</v>
      </c>
      <c r="C22" s="47">
        <v>3.86</v>
      </c>
      <c r="D22" s="47">
        <v>392</v>
      </c>
      <c r="E22" s="47">
        <v>15.6</v>
      </c>
      <c r="F22" s="47">
        <v>53.4</v>
      </c>
      <c r="G22" s="47" t="s">
        <v>220</v>
      </c>
    </row>
    <row r="23" spans="2:7" x14ac:dyDescent="0.3">
      <c r="B23" s="47" t="s">
        <v>94</v>
      </c>
      <c r="C23" s="47">
        <v>3.92</v>
      </c>
      <c r="D23" s="47">
        <v>9272</v>
      </c>
      <c r="E23" s="47">
        <v>13.6</v>
      </c>
      <c r="F23" s="47">
        <v>52</v>
      </c>
      <c r="G23" s="47" t="s">
        <v>220</v>
      </c>
    </row>
    <row r="24" spans="2:7" x14ac:dyDescent="0.3">
      <c r="B24" s="47" t="s">
        <v>121</v>
      </c>
      <c r="C24" s="47">
        <v>3.93</v>
      </c>
      <c r="D24" s="47">
        <v>414</v>
      </c>
      <c r="E24" s="47">
        <v>12.5</v>
      </c>
      <c r="F24" s="47">
        <v>50.9</v>
      </c>
      <c r="G24" s="47" t="s">
        <v>220</v>
      </c>
    </row>
    <row r="25" spans="2:7" x14ac:dyDescent="0.3">
      <c r="B25" s="47" t="s">
        <v>97</v>
      </c>
      <c r="C25" s="47">
        <v>3.96</v>
      </c>
      <c r="D25" s="47">
        <v>6307</v>
      </c>
      <c r="E25" s="47">
        <v>13.6</v>
      </c>
      <c r="F25" s="47">
        <v>54</v>
      </c>
      <c r="G25" s="47" t="s">
        <v>220</v>
      </c>
    </row>
    <row r="26" spans="2:7" x14ac:dyDescent="0.3">
      <c r="B26" s="47" t="s">
        <v>118</v>
      </c>
      <c r="C26" s="47">
        <v>3.96</v>
      </c>
      <c r="D26" s="47">
        <v>483</v>
      </c>
      <c r="E26" s="47">
        <v>11.1</v>
      </c>
      <c r="F26" s="47">
        <v>49.8</v>
      </c>
      <c r="G26" s="47" t="s">
        <v>220</v>
      </c>
    </row>
    <row r="27" spans="2:7" x14ac:dyDescent="0.3">
      <c r="B27" s="47" t="s">
        <v>222</v>
      </c>
      <c r="C27" s="47">
        <v>3.97</v>
      </c>
      <c r="D27" s="47">
        <v>159</v>
      </c>
      <c r="E27" s="47">
        <v>15.8</v>
      </c>
      <c r="F27" s="47">
        <v>54.6</v>
      </c>
      <c r="G27" s="47" t="s">
        <v>220</v>
      </c>
    </row>
    <row r="28" spans="2:7" x14ac:dyDescent="0.3">
      <c r="B28" s="47" t="s">
        <v>96</v>
      </c>
      <c r="C28" s="47">
        <v>3.99</v>
      </c>
      <c r="D28" s="47">
        <v>6530</v>
      </c>
      <c r="E28" s="47">
        <v>13.4</v>
      </c>
      <c r="F28" s="47">
        <v>54.4</v>
      </c>
      <c r="G28" s="47" t="s">
        <v>220</v>
      </c>
    </row>
    <row r="29" spans="2:7" x14ac:dyDescent="0.3">
      <c r="B29" s="47" t="s">
        <v>105</v>
      </c>
      <c r="C29" s="47">
        <v>3.99</v>
      </c>
      <c r="D29" s="47">
        <v>4093</v>
      </c>
      <c r="E29" s="47">
        <v>11.6</v>
      </c>
      <c r="F29" s="47">
        <v>52</v>
      </c>
      <c r="G29" s="47" t="s">
        <v>220</v>
      </c>
    </row>
    <row r="30" spans="2:7" x14ac:dyDescent="0.3">
      <c r="B30" s="47" t="s">
        <v>223</v>
      </c>
      <c r="C30" s="47">
        <v>4.03</v>
      </c>
      <c r="D30" s="47">
        <v>241</v>
      </c>
      <c r="E30" s="47">
        <v>11.7</v>
      </c>
      <c r="F30" s="47">
        <v>52.9</v>
      </c>
      <c r="G30" s="47" t="s">
        <v>220</v>
      </c>
    </row>
    <row r="31" spans="2:7" x14ac:dyDescent="0.3">
      <c r="B31" s="47" t="s">
        <v>224</v>
      </c>
      <c r="C31" s="47">
        <v>4.05</v>
      </c>
      <c r="D31" s="47">
        <v>117</v>
      </c>
      <c r="E31" s="47">
        <v>10.199999999999999</v>
      </c>
      <c r="F31" s="47">
        <v>52.8</v>
      </c>
      <c r="G31" s="47" t="s">
        <v>220</v>
      </c>
    </row>
    <row r="32" spans="2:7" x14ac:dyDescent="0.3">
      <c r="B32" s="47" t="s">
        <v>225</v>
      </c>
      <c r="C32" s="47">
        <v>4.05</v>
      </c>
      <c r="D32" s="47">
        <v>246</v>
      </c>
      <c r="E32" s="47">
        <v>12.5</v>
      </c>
      <c r="F32" s="47">
        <v>56.4</v>
      </c>
      <c r="G32" s="47" t="s">
        <v>220</v>
      </c>
    </row>
    <row r="33" spans="2:7" x14ac:dyDescent="0.3">
      <c r="B33" s="47" t="s">
        <v>112</v>
      </c>
      <c r="C33" s="47">
        <v>4.07</v>
      </c>
      <c r="D33" s="47">
        <v>2517</v>
      </c>
      <c r="E33" s="47">
        <v>11.1</v>
      </c>
      <c r="F33" s="47">
        <v>55</v>
      </c>
      <c r="G33" s="47" t="s">
        <v>220</v>
      </c>
    </row>
    <row r="34" spans="2:7" x14ac:dyDescent="0.3">
      <c r="B34" s="47" t="s">
        <v>226</v>
      </c>
      <c r="C34" s="47">
        <v>4.07</v>
      </c>
      <c r="D34" s="47">
        <v>125</v>
      </c>
      <c r="E34" s="47">
        <v>11.3</v>
      </c>
      <c r="F34" s="47">
        <v>50.7</v>
      </c>
      <c r="G34" s="47" t="s">
        <v>220</v>
      </c>
    </row>
    <row r="35" spans="2:7" x14ac:dyDescent="0.3">
      <c r="B35" s="47" t="s">
        <v>93</v>
      </c>
      <c r="C35" s="47">
        <v>4.07</v>
      </c>
      <c r="D35" s="47">
        <v>5495</v>
      </c>
      <c r="E35" s="47">
        <v>11.2</v>
      </c>
      <c r="F35" s="47">
        <v>56.7</v>
      </c>
      <c r="G35" s="47" t="s">
        <v>220</v>
      </c>
    </row>
    <row r="36" spans="2:7" x14ac:dyDescent="0.3">
      <c r="B36" s="47" t="s">
        <v>227</v>
      </c>
      <c r="C36" s="47">
        <v>4.07</v>
      </c>
      <c r="D36" s="47">
        <v>274</v>
      </c>
      <c r="E36" s="47">
        <v>9.8000000000000007</v>
      </c>
      <c r="F36" s="47">
        <v>52.5</v>
      </c>
      <c r="G36" s="47" t="s">
        <v>220</v>
      </c>
    </row>
    <row r="37" spans="2:7" x14ac:dyDescent="0.3">
      <c r="B37" s="47" t="s">
        <v>103</v>
      </c>
      <c r="C37" s="47">
        <v>4.08</v>
      </c>
      <c r="D37" s="47">
        <v>2809</v>
      </c>
      <c r="E37" s="47">
        <v>11.5</v>
      </c>
      <c r="F37" s="47">
        <v>57.4</v>
      </c>
      <c r="G37" s="47" t="s">
        <v>220</v>
      </c>
    </row>
  </sheetData>
  <mergeCells count="4">
    <mergeCell ref="B1:G1"/>
    <mergeCell ref="B3:E3"/>
    <mergeCell ref="B11:E11"/>
    <mergeCell ref="B16:G16"/>
  </mergeCells>
  <conditionalFormatting sqref="C18:C37">
    <cfRule type="colorScale" priority="2">
      <colorScale>
        <cfvo type="min"/>
        <cfvo type="max"/>
        <color rgb="FFC0392B"/>
        <color rgb="FF1E8449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22"/>
  <sheetViews>
    <sheetView showGridLines="0" topLeftCell="A5" zoomScale="90" zoomScaleNormal="90" workbookViewId="0"/>
  </sheetViews>
  <sheetFormatPr defaultColWidth="8.6640625" defaultRowHeight="14.4" x14ac:dyDescent="0.3"/>
  <cols>
    <col min="1" max="1" width="2" customWidth="1"/>
    <col min="2" max="2" width="22" customWidth="1"/>
    <col min="3" max="3" width="16" customWidth="1"/>
    <col min="4" max="4" width="14" customWidth="1"/>
    <col min="5" max="5" width="18" customWidth="1"/>
    <col min="6" max="6" width="16" customWidth="1"/>
    <col min="7" max="7" width="28" customWidth="1"/>
    <col min="8" max="8" width="2" customWidth="1"/>
  </cols>
  <sheetData>
    <row r="1" spans="2:7" ht="37.5" customHeight="1" x14ac:dyDescent="0.3">
      <c r="B1" s="71" t="s">
        <v>228</v>
      </c>
      <c r="C1" s="71"/>
      <c r="D1" s="71"/>
      <c r="E1" s="71"/>
      <c r="F1" s="71"/>
      <c r="G1" s="71"/>
    </row>
    <row r="2" spans="2:7" ht="6" customHeight="1" x14ac:dyDescent="0.3"/>
    <row r="3" spans="2:7" ht="19.5" customHeight="1" x14ac:dyDescent="0.3">
      <c r="B3" s="77" t="s">
        <v>229</v>
      </c>
      <c r="C3" s="77"/>
      <c r="D3" s="77"/>
      <c r="E3" s="77"/>
      <c r="F3" s="77"/>
      <c r="G3" s="77"/>
    </row>
    <row r="4" spans="2:7" ht="18" customHeight="1" x14ac:dyDescent="0.3">
      <c r="B4" s="44" t="s">
        <v>230</v>
      </c>
      <c r="C4" s="44" t="s">
        <v>231</v>
      </c>
      <c r="D4" s="44" t="s">
        <v>156</v>
      </c>
      <c r="E4" s="44" t="s">
        <v>232</v>
      </c>
      <c r="F4" s="44" t="s">
        <v>233</v>
      </c>
      <c r="G4" s="44" t="s">
        <v>234</v>
      </c>
    </row>
    <row r="5" spans="2:7" ht="24" x14ac:dyDescent="0.3">
      <c r="B5" s="59" t="s">
        <v>235</v>
      </c>
      <c r="C5" s="58">
        <v>32023</v>
      </c>
      <c r="D5" s="58">
        <v>34.299999999999997</v>
      </c>
      <c r="E5" s="58">
        <v>104.85</v>
      </c>
      <c r="F5" s="58">
        <v>1</v>
      </c>
      <c r="G5" s="66" t="s">
        <v>236</v>
      </c>
    </row>
    <row r="6" spans="2:7" ht="24" x14ac:dyDescent="0.3">
      <c r="B6" s="60" t="s">
        <v>237</v>
      </c>
      <c r="C6" s="49">
        <v>31304</v>
      </c>
      <c r="D6" s="49">
        <v>33.5</v>
      </c>
      <c r="E6" s="49">
        <v>166.96</v>
      </c>
      <c r="F6" s="49">
        <v>1.03</v>
      </c>
      <c r="G6" s="67" t="s">
        <v>238</v>
      </c>
    </row>
    <row r="7" spans="2:7" ht="24" x14ac:dyDescent="0.3">
      <c r="B7" s="60" t="s">
        <v>239</v>
      </c>
      <c r="C7" s="49">
        <v>15098</v>
      </c>
      <c r="D7" s="49">
        <v>16.2</v>
      </c>
      <c r="E7" s="49">
        <v>259.31</v>
      </c>
      <c r="F7" s="49">
        <v>1.1399999999999999</v>
      </c>
      <c r="G7" s="67" t="s">
        <v>240</v>
      </c>
    </row>
    <row r="8" spans="2:7" ht="24" x14ac:dyDescent="0.3">
      <c r="B8" s="68" t="s">
        <v>241</v>
      </c>
      <c r="C8" s="48">
        <v>13431</v>
      </c>
      <c r="D8" s="48">
        <v>14.4</v>
      </c>
      <c r="E8" s="48">
        <v>50.54</v>
      </c>
      <c r="F8" s="48">
        <v>1</v>
      </c>
      <c r="G8" s="69" t="s">
        <v>242</v>
      </c>
    </row>
    <row r="9" spans="2:7" ht="18" customHeight="1" x14ac:dyDescent="0.3">
      <c r="B9" s="53" t="s">
        <v>243</v>
      </c>
      <c r="C9" s="47">
        <v>1502</v>
      </c>
      <c r="D9" s="47">
        <v>1.6</v>
      </c>
      <c r="E9" s="47">
        <v>28.92</v>
      </c>
      <c r="F9" s="47">
        <v>1</v>
      </c>
      <c r="G9" s="70" t="s">
        <v>244</v>
      </c>
    </row>
    <row r="11" spans="2:7" ht="19.5" customHeight="1" x14ac:dyDescent="0.3">
      <c r="B11" s="74" t="s">
        <v>245</v>
      </c>
      <c r="C11" s="74"/>
      <c r="D11" s="74"/>
      <c r="E11" s="74"/>
    </row>
    <row r="12" spans="2:7" ht="18" customHeight="1" x14ac:dyDescent="0.3">
      <c r="B12" s="24" t="s">
        <v>246</v>
      </c>
      <c r="C12" s="24" t="s">
        <v>231</v>
      </c>
      <c r="D12" s="24" t="s">
        <v>247</v>
      </c>
      <c r="E12" s="24" t="s">
        <v>248</v>
      </c>
    </row>
    <row r="13" spans="2:7" x14ac:dyDescent="0.3">
      <c r="B13" s="25">
        <v>3</v>
      </c>
      <c r="C13" s="26">
        <v>1502</v>
      </c>
      <c r="D13" s="45">
        <v>1.6</v>
      </c>
      <c r="E13" s="31">
        <v>28.92</v>
      </c>
    </row>
    <row r="14" spans="2:7" x14ac:dyDescent="0.3">
      <c r="B14" s="28">
        <v>4</v>
      </c>
      <c r="C14" s="29">
        <v>4532</v>
      </c>
      <c r="D14" s="46">
        <v>4.9000000000000004</v>
      </c>
      <c r="E14" s="33">
        <v>40.74</v>
      </c>
    </row>
    <row r="15" spans="2:7" x14ac:dyDescent="0.3">
      <c r="B15" s="25">
        <v>5</v>
      </c>
      <c r="C15" s="26">
        <v>8899</v>
      </c>
      <c r="D15" s="45">
        <v>9.5</v>
      </c>
      <c r="E15" s="31">
        <v>55.53</v>
      </c>
    </row>
    <row r="16" spans="2:7" x14ac:dyDescent="0.3">
      <c r="B16" s="28">
        <v>6</v>
      </c>
      <c r="C16" s="29">
        <v>14416</v>
      </c>
      <c r="D16" s="46">
        <v>15.4</v>
      </c>
      <c r="E16" s="33">
        <v>90.22</v>
      </c>
    </row>
    <row r="17" spans="2:5" x14ac:dyDescent="0.3">
      <c r="B17" s="25">
        <v>7</v>
      </c>
      <c r="C17" s="26">
        <v>17607</v>
      </c>
      <c r="D17" s="45">
        <v>18.899999999999999</v>
      </c>
      <c r="E17" s="31">
        <v>116.84</v>
      </c>
    </row>
    <row r="18" spans="2:5" x14ac:dyDescent="0.3">
      <c r="B18" s="28">
        <v>8</v>
      </c>
      <c r="C18" s="29">
        <v>17017</v>
      </c>
      <c r="D18" s="46">
        <v>18.2</v>
      </c>
      <c r="E18" s="33">
        <v>146.55000000000001</v>
      </c>
    </row>
    <row r="19" spans="2:5" x14ac:dyDescent="0.3">
      <c r="B19" s="25">
        <v>9</v>
      </c>
      <c r="C19" s="26">
        <v>14287</v>
      </c>
      <c r="D19" s="45">
        <v>15.3</v>
      </c>
      <c r="E19" s="31">
        <v>191.26</v>
      </c>
    </row>
    <row r="20" spans="2:5" x14ac:dyDescent="0.3">
      <c r="B20" s="28">
        <v>10</v>
      </c>
      <c r="C20" s="29">
        <v>8825</v>
      </c>
      <c r="D20" s="46">
        <v>9.5</v>
      </c>
      <c r="E20" s="33">
        <v>227.43</v>
      </c>
    </row>
    <row r="21" spans="2:5" x14ac:dyDescent="0.3">
      <c r="B21" s="25">
        <v>11</v>
      </c>
      <c r="C21" s="26">
        <v>4506</v>
      </c>
      <c r="D21" s="45">
        <v>4.8</v>
      </c>
      <c r="E21" s="31">
        <v>280.75</v>
      </c>
    </row>
    <row r="22" spans="2:5" x14ac:dyDescent="0.3">
      <c r="B22" s="28">
        <v>12</v>
      </c>
      <c r="C22" s="29">
        <v>1767</v>
      </c>
      <c r="D22" s="46">
        <v>1.9</v>
      </c>
      <c r="E22" s="33">
        <v>363.87</v>
      </c>
    </row>
  </sheetData>
  <mergeCells count="3">
    <mergeCell ref="B1:G1"/>
    <mergeCell ref="B3:G3"/>
    <mergeCell ref="B11:E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24"/>
  <sheetViews>
    <sheetView showGridLines="0" zoomScale="90" zoomScaleNormal="90" workbookViewId="0"/>
  </sheetViews>
  <sheetFormatPr defaultColWidth="8.6640625" defaultRowHeight="14.4" x14ac:dyDescent="0.3"/>
  <cols>
    <col min="1" max="1" width="2" customWidth="1"/>
    <col min="2" max="2" width="28" customWidth="1"/>
    <col min="3" max="3" width="16" customWidth="1"/>
    <col min="4" max="6" width="14" customWidth="1"/>
    <col min="7" max="7" width="18" customWidth="1"/>
    <col min="8" max="8" width="2" customWidth="1"/>
  </cols>
  <sheetData>
    <row r="1" spans="2:7" ht="37.5" customHeight="1" x14ac:dyDescent="0.3">
      <c r="B1" s="71" t="s">
        <v>249</v>
      </c>
      <c r="C1" s="71"/>
      <c r="D1" s="71"/>
      <c r="E1" s="71"/>
      <c r="F1" s="71"/>
      <c r="G1" s="71"/>
    </row>
    <row r="2" spans="2:7" ht="6" customHeight="1" x14ac:dyDescent="0.3"/>
    <row r="3" spans="2:7" ht="19.5" customHeight="1" x14ac:dyDescent="0.3">
      <c r="B3" s="75" t="s">
        <v>250</v>
      </c>
      <c r="C3" s="75"/>
      <c r="D3" s="75"/>
      <c r="E3" s="75"/>
      <c r="F3" s="75"/>
      <c r="G3" s="75"/>
    </row>
    <row r="4" spans="2:7" ht="18" customHeight="1" x14ac:dyDescent="0.3">
      <c r="B4" s="16" t="s">
        <v>251</v>
      </c>
      <c r="C4" s="16" t="s">
        <v>49</v>
      </c>
      <c r="D4" s="16" t="s">
        <v>87</v>
      </c>
      <c r="E4" s="16" t="s">
        <v>252</v>
      </c>
      <c r="F4" s="16" t="s">
        <v>89</v>
      </c>
      <c r="G4" s="16" t="s">
        <v>253</v>
      </c>
    </row>
    <row r="5" spans="2:7" x14ac:dyDescent="0.3">
      <c r="B5" s="25" t="s">
        <v>254</v>
      </c>
      <c r="C5" s="26">
        <v>226988</v>
      </c>
      <c r="D5" s="25">
        <v>1124</v>
      </c>
      <c r="E5" s="25">
        <v>94</v>
      </c>
      <c r="F5" s="25">
        <v>4.1399999999999997</v>
      </c>
      <c r="G5" s="25" t="s">
        <v>255</v>
      </c>
    </row>
    <row r="6" spans="2:7" x14ac:dyDescent="0.3">
      <c r="B6" s="28" t="s">
        <v>256</v>
      </c>
      <c r="C6" s="29">
        <v>217940</v>
      </c>
      <c r="D6" s="28">
        <v>348</v>
      </c>
      <c r="E6" s="28">
        <v>23</v>
      </c>
      <c r="F6" s="28">
        <v>4.13</v>
      </c>
      <c r="G6" s="28" t="s">
        <v>255</v>
      </c>
    </row>
    <row r="7" spans="2:7" x14ac:dyDescent="0.3">
      <c r="B7" s="25" t="s">
        <v>257</v>
      </c>
      <c r="C7" s="26">
        <v>196882</v>
      </c>
      <c r="D7" s="25">
        <v>1772</v>
      </c>
      <c r="E7" s="25">
        <v>394</v>
      </c>
      <c r="F7" s="25">
        <v>3.83</v>
      </c>
      <c r="G7" s="25" t="s">
        <v>258</v>
      </c>
    </row>
    <row r="8" spans="2:7" x14ac:dyDescent="0.3">
      <c r="B8" s="28" t="s">
        <v>259</v>
      </c>
      <c r="C8" s="29">
        <v>190917</v>
      </c>
      <c r="D8" s="28">
        <v>578</v>
      </c>
      <c r="E8" s="28">
        <v>284</v>
      </c>
      <c r="F8" s="28">
        <v>4.37</v>
      </c>
      <c r="G8" s="28" t="s">
        <v>255</v>
      </c>
    </row>
    <row r="9" spans="2:7" x14ac:dyDescent="0.3">
      <c r="B9" s="25" t="s">
        <v>260</v>
      </c>
      <c r="C9" s="26">
        <v>186570</v>
      </c>
      <c r="D9" s="25">
        <v>973</v>
      </c>
      <c r="E9" s="25">
        <v>197</v>
      </c>
      <c r="F9" s="25">
        <v>3.35</v>
      </c>
      <c r="G9" s="25" t="s">
        <v>258</v>
      </c>
    </row>
    <row r="10" spans="2:7" x14ac:dyDescent="0.3">
      <c r="B10" s="28" t="s">
        <v>261</v>
      </c>
      <c r="C10" s="29">
        <v>165981</v>
      </c>
      <c r="D10" s="28">
        <v>319</v>
      </c>
      <c r="E10" s="28">
        <v>175</v>
      </c>
      <c r="F10" s="28">
        <v>4.3600000000000003</v>
      </c>
      <c r="G10" s="28" t="s">
        <v>255</v>
      </c>
    </row>
    <row r="11" spans="2:7" x14ac:dyDescent="0.3">
      <c r="B11" s="25" t="s">
        <v>262</v>
      </c>
      <c r="C11" s="26">
        <v>159817</v>
      </c>
      <c r="D11" s="25">
        <v>1311</v>
      </c>
      <c r="E11" s="25">
        <v>221</v>
      </c>
      <c r="F11" s="25">
        <v>4.07</v>
      </c>
      <c r="G11" s="25" t="s">
        <v>255</v>
      </c>
    </row>
    <row r="12" spans="2:7" x14ac:dyDescent="0.3">
      <c r="B12" s="28" t="s">
        <v>263</v>
      </c>
      <c r="C12" s="29">
        <v>139659</v>
      </c>
      <c r="D12" s="28">
        <v>1145</v>
      </c>
      <c r="E12" s="28">
        <v>146</v>
      </c>
      <c r="F12" s="28">
        <v>4.2699999999999996</v>
      </c>
      <c r="G12" s="28" t="s">
        <v>255</v>
      </c>
    </row>
    <row r="13" spans="2:7" x14ac:dyDescent="0.3">
      <c r="B13" s="25" t="s">
        <v>264</v>
      </c>
      <c r="C13" s="26">
        <v>138209</v>
      </c>
      <c r="D13" s="25">
        <v>910</v>
      </c>
      <c r="E13" s="25">
        <v>153</v>
      </c>
      <c r="F13" s="25">
        <v>3.88</v>
      </c>
      <c r="G13" s="25" t="s">
        <v>258</v>
      </c>
    </row>
    <row r="14" spans="2:7" x14ac:dyDescent="0.3">
      <c r="B14" s="28" t="s">
        <v>265</v>
      </c>
      <c r="C14" s="29">
        <v>131837</v>
      </c>
      <c r="D14" s="28">
        <v>1261</v>
      </c>
      <c r="E14" s="28">
        <v>103</v>
      </c>
      <c r="F14" s="28">
        <v>4.09</v>
      </c>
      <c r="G14" s="28" t="s">
        <v>255</v>
      </c>
    </row>
    <row r="15" spans="2:7" x14ac:dyDescent="0.3">
      <c r="B15" s="25" t="s">
        <v>266</v>
      </c>
      <c r="C15" s="26">
        <v>122811</v>
      </c>
      <c r="D15" s="25">
        <v>503</v>
      </c>
      <c r="E15" s="25">
        <v>183</v>
      </c>
      <c r="F15" s="25">
        <v>4.26</v>
      </c>
      <c r="G15" s="25" t="s">
        <v>255</v>
      </c>
    </row>
    <row r="16" spans="2:7" x14ac:dyDescent="0.3">
      <c r="B16" s="28" t="s">
        <v>267</v>
      </c>
      <c r="C16" s="29">
        <v>120703</v>
      </c>
      <c r="D16" s="28">
        <v>1819</v>
      </c>
      <c r="E16" s="28">
        <v>254</v>
      </c>
      <c r="F16" s="28">
        <v>3.95</v>
      </c>
      <c r="G16" s="28" t="s">
        <v>258</v>
      </c>
    </row>
    <row r="17" spans="2:7" x14ac:dyDescent="0.3">
      <c r="B17" s="25" t="s">
        <v>268</v>
      </c>
      <c r="C17" s="26">
        <v>112462</v>
      </c>
      <c r="D17" s="25">
        <v>722</v>
      </c>
      <c r="E17" s="25">
        <v>124</v>
      </c>
      <c r="F17" s="25">
        <v>4.2699999999999996</v>
      </c>
      <c r="G17" s="25" t="s">
        <v>255</v>
      </c>
    </row>
    <row r="18" spans="2:7" x14ac:dyDescent="0.3">
      <c r="B18" s="28" t="s">
        <v>269</v>
      </c>
      <c r="C18" s="29">
        <v>112436</v>
      </c>
      <c r="D18" s="28">
        <v>558</v>
      </c>
      <c r="E18" s="28">
        <v>57</v>
      </c>
      <c r="F18" s="28">
        <v>4.0199999999999996</v>
      </c>
      <c r="G18" s="28" t="s">
        <v>255</v>
      </c>
    </row>
    <row r="19" spans="2:7" x14ac:dyDescent="0.3">
      <c r="B19" s="25" t="s">
        <v>270</v>
      </c>
      <c r="C19" s="26">
        <v>111127</v>
      </c>
      <c r="D19" s="25">
        <v>322</v>
      </c>
      <c r="E19" s="25">
        <v>47</v>
      </c>
      <c r="F19" s="25">
        <v>4.0199999999999996</v>
      </c>
      <c r="G19" s="25" t="s">
        <v>255</v>
      </c>
    </row>
    <row r="20" spans="2:7" x14ac:dyDescent="0.3">
      <c r="B20" s="28" t="s">
        <v>271</v>
      </c>
      <c r="C20" s="29">
        <v>106656</v>
      </c>
      <c r="D20" s="28">
        <v>1399</v>
      </c>
      <c r="E20" s="28">
        <v>23</v>
      </c>
      <c r="F20" s="28">
        <v>3.99</v>
      </c>
      <c r="G20" s="28" t="s">
        <v>258</v>
      </c>
    </row>
    <row r="21" spans="2:7" x14ac:dyDescent="0.3">
      <c r="B21" s="25" t="s">
        <v>272</v>
      </c>
      <c r="C21" s="26">
        <v>101091</v>
      </c>
      <c r="D21" s="25">
        <v>1651</v>
      </c>
      <c r="E21" s="25">
        <v>37</v>
      </c>
      <c r="F21" s="25">
        <v>4.1399999999999997</v>
      </c>
      <c r="G21" s="25" t="s">
        <v>255</v>
      </c>
    </row>
    <row r="22" spans="2:7" x14ac:dyDescent="0.3">
      <c r="B22" s="28" t="s">
        <v>273</v>
      </c>
      <c r="C22" s="29">
        <v>99309</v>
      </c>
      <c r="D22" s="28">
        <v>702</v>
      </c>
      <c r="E22" s="28">
        <v>6</v>
      </c>
      <c r="F22" s="28">
        <v>4.25</v>
      </c>
      <c r="G22" s="28" t="s">
        <v>255</v>
      </c>
    </row>
    <row r="23" spans="2:7" x14ac:dyDescent="0.3">
      <c r="B23" s="25" t="s">
        <v>274</v>
      </c>
      <c r="C23" s="26">
        <v>93407</v>
      </c>
      <c r="D23" s="25">
        <v>1064</v>
      </c>
      <c r="E23" s="25">
        <v>202</v>
      </c>
      <c r="F23" s="25">
        <v>4.1500000000000004</v>
      </c>
      <c r="G23" s="25" t="s">
        <v>255</v>
      </c>
    </row>
    <row r="24" spans="2:7" x14ac:dyDescent="0.3">
      <c r="B24" s="28" t="s">
        <v>275</v>
      </c>
      <c r="C24" s="29">
        <v>79145</v>
      </c>
      <c r="D24" s="28">
        <v>165</v>
      </c>
      <c r="E24" s="28">
        <v>55</v>
      </c>
      <c r="F24" s="28">
        <v>4.45</v>
      </c>
      <c r="G24" s="28" t="s">
        <v>255</v>
      </c>
    </row>
  </sheetData>
  <mergeCells count="2">
    <mergeCell ref="B1:G1"/>
    <mergeCell ref="B3:G3"/>
  </mergeCells>
  <conditionalFormatting sqref="C5:C24">
    <cfRule type="dataBar" priority="2">
      <dataBar>
        <cfvo type="min"/>
        <cfvo type="max"/>
        <color rgb="FF0E8A7B"/>
      </dataBar>
      <extLst>
        <ext xmlns:x14="http://schemas.microsoft.com/office/spreadsheetml/2009/9/main" uri="{B025F937-C7B1-47D3-B67F-A62EFF666E3E}">
          <x14:id>{E5121834-B3FF-4A5F-BFA4-B9FFA890B754}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121834-B3FF-4A5F-BFA4-B9FFA890B754}">
            <x14:dataBar axisPosition="none">
              <x14:cfvo type="min"/>
              <x14:cfvo type="max"/>
              <x14:negativeFillColor rgb="FF0E8A7B"/>
            </x14:dataBar>
          </x14:cfRule>
          <xm:sqref>C5:C24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28"/>
  <sheetViews>
    <sheetView showGridLines="0" zoomScale="90" zoomScaleNormal="90" workbookViewId="0">
      <selection activeCell="M13" sqref="M13"/>
    </sheetView>
  </sheetViews>
  <sheetFormatPr defaultColWidth="8.6640625" defaultRowHeight="14.4" x14ac:dyDescent="0.3"/>
  <cols>
    <col min="1" max="1" width="2" customWidth="1"/>
    <col min="2" max="3" width="16" customWidth="1"/>
    <col min="4" max="4" width="3" customWidth="1"/>
    <col min="5" max="6" width="16" customWidth="1"/>
    <col min="7" max="7" width="2" customWidth="1"/>
  </cols>
  <sheetData>
    <row r="1" spans="2:6" ht="37.5" customHeight="1" x14ac:dyDescent="0.3">
      <c r="B1" s="71" t="s">
        <v>276</v>
      </c>
      <c r="C1" s="71"/>
      <c r="D1" s="71"/>
      <c r="E1" s="71"/>
      <c r="F1" s="71"/>
    </row>
    <row r="2" spans="2:6" ht="6" customHeight="1" x14ac:dyDescent="0.3"/>
    <row r="3" spans="2:6" ht="19.5" customHeight="1" x14ac:dyDescent="0.3">
      <c r="B3" s="74" t="s">
        <v>277</v>
      </c>
      <c r="C3" s="74"/>
      <c r="E3" s="76" t="s">
        <v>278</v>
      </c>
      <c r="F3" s="76"/>
    </row>
    <row r="4" spans="2:6" ht="18" customHeight="1" x14ac:dyDescent="0.3">
      <c r="B4" s="24" t="s">
        <v>279</v>
      </c>
      <c r="C4" s="24" t="s">
        <v>87</v>
      </c>
      <c r="E4" s="38" t="s">
        <v>280</v>
      </c>
      <c r="F4" s="38" t="s">
        <v>87</v>
      </c>
    </row>
    <row r="5" spans="2:6" x14ac:dyDescent="0.3">
      <c r="B5" s="25">
        <v>0</v>
      </c>
      <c r="C5" s="25">
        <v>2394</v>
      </c>
      <c r="E5" s="25" t="s">
        <v>281</v>
      </c>
      <c r="F5" s="25">
        <v>16196</v>
      </c>
    </row>
    <row r="6" spans="2:6" x14ac:dyDescent="0.3">
      <c r="B6" s="28">
        <v>1</v>
      </c>
      <c r="C6" s="28">
        <v>1170</v>
      </c>
      <c r="E6" s="28" t="s">
        <v>282</v>
      </c>
      <c r="F6" s="28">
        <v>15963</v>
      </c>
    </row>
    <row r="7" spans="2:6" x14ac:dyDescent="0.3">
      <c r="B7" s="25">
        <v>2</v>
      </c>
      <c r="C7" s="25">
        <v>510</v>
      </c>
      <c r="E7" s="25" t="s">
        <v>283</v>
      </c>
      <c r="F7" s="25">
        <v>15552</v>
      </c>
    </row>
    <row r="8" spans="2:6" x14ac:dyDescent="0.3">
      <c r="B8" s="28">
        <v>3</v>
      </c>
      <c r="C8" s="28">
        <v>272</v>
      </c>
      <c r="E8" s="28" t="s">
        <v>284</v>
      </c>
      <c r="F8" s="28">
        <v>14761</v>
      </c>
    </row>
    <row r="9" spans="2:6" x14ac:dyDescent="0.3">
      <c r="B9" s="25">
        <v>4</v>
      </c>
      <c r="C9" s="25">
        <v>206</v>
      </c>
      <c r="E9" s="25" t="s">
        <v>285</v>
      </c>
      <c r="F9" s="25">
        <v>14122</v>
      </c>
    </row>
    <row r="10" spans="2:6" x14ac:dyDescent="0.3">
      <c r="B10" s="28">
        <v>5</v>
      </c>
      <c r="C10" s="28">
        <v>188</v>
      </c>
      <c r="E10" s="28" t="s">
        <v>286</v>
      </c>
      <c r="F10" s="28">
        <v>10887</v>
      </c>
    </row>
    <row r="11" spans="2:6" x14ac:dyDescent="0.3">
      <c r="B11" s="25">
        <v>6</v>
      </c>
      <c r="C11" s="25">
        <v>502</v>
      </c>
      <c r="E11" s="25" t="s">
        <v>287</v>
      </c>
      <c r="F11" s="25">
        <v>11960</v>
      </c>
    </row>
    <row r="12" spans="2:6" x14ac:dyDescent="0.3">
      <c r="B12" s="28">
        <v>7</v>
      </c>
      <c r="C12" s="28">
        <v>1231</v>
      </c>
    </row>
    <row r="13" spans="2:6" x14ac:dyDescent="0.3">
      <c r="B13" s="25">
        <v>8</v>
      </c>
      <c r="C13" s="25">
        <v>2967</v>
      </c>
    </row>
    <row r="14" spans="2:6" x14ac:dyDescent="0.3">
      <c r="B14" s="28">
        <v>9</v>
      </c>
      <c r="C14" s="28">
        <v>4785</v>
      </c>
    </row>
    <row r="15" spans="2:6" x14ac:dyDescent="0.3">
      <c r="B15" s="25">
        <v>10</v>
      </c>
      <c r="C15" s="25">
        <v>6177</v>
      </c>
    </row>
    <row r="16" spans="2:6" x14ac:dyDescent="0.3">
      <c r="B16" s="28">
        <v>11</v>
      </c>
      <c r="C16" s="28">
        <v>6578</v>
      </c>
    </row>
    <row r="17" spans="2:3" x14ac:dyDescent="0.3">
      <c r="B17" s="25">
        <v>12</v>
      </c>
      <c r="C17" s="25">
        <v>5995</v>
      </c>
    </row>
    <row r="18" spans="2:3" x14ac:dyDescent="0.3">
      <c r="B18" s="28">
        <v>13</v>
      </c>
      <c r="C18" s="28">
        <v>6518</v>
      </c>
    </row>
    <row r="19" spans="2:3" x14ac:dyDescent="0.3">
      <c r="B19" s="25">
        <v>14</v>
      </c>
      <c r="C19" s="25">
        <v>6569</v>
      </c>
    </row>
    <row r="20" spans="2:3" x14ac:dyDescent="0.3">
      <c r="B20" s="28">
        <v>15</v>
      </c>
      <c r="C20" s="28">
        <v>6454</v>
      </c>
    </row>
    <row r="21" spans="2:3" x14ac:dyDescent="0.3">
      <c r="B21" s="25">
        <v>16</v>
      </c>
      <c r="C21" s="25">
        <v>6675</v>
      </c>
    </row>
    <row r="22" spans="2:3" x14ac:dyDescent="0.3">
      <c r="B22" s="28">
        <v>17</v>
      </c>
      <c r="C22" s="28">
        <v>6150</v>
      </c>
    </row>
    <row r="23" spans="2:3" x14ac:dyDescent="0.3">
      <c r="B23" s="25">
        <v>18</v>
      </c>
      <c r="C23" s="25">
        <v>5769</v>
      </c>
    </row>
    <row r="24" spans="2:3" x14ac:dyDescent="0.3">
      <c r="B24" s="28">
        <v>19</v>
      </c>
      <c r="C24" s="28">
        <v>5982</v>
      </c>
    </row>
    <row r="25" spans="2:3" x14ac:dyDescent="0.3">
      <c r="B25" s="25">
        <v>20</v>
      </c>
      <c r="C25" s="25">
        <v>6193</v>
      </c>
    </row>
    <row r="26" spans="2:3" x14ac:dyDescent="0.3">
      <c r="B26" s="28">
        <v>21</v>
      </c>
      <c r="C26" s="28">
        <v>6217</v>
      </c>
    </row>
    <row r="27" spans="2:3" x14ac:dyDescent="0.3">
      <c r="B27" s="25">
        <v>22</v>
      </c>
      <c r="C27" s="25">
        <v>5816</v>
      </c>
    </row>
    <row r="28" spans="2:3" x14ac:dyDescent="0.3">
      <c r="B28" s="28">
        <v>23</v>
      </c>
      <c r="C28" s="28">
        <v>4123</v>
      </c>
    </row>
  </sheetData>
  <mergeCells count="3">
    <mergeCell ref="B1:F1"/>
    <mergeCell ref="B3:C3"/>
    <mergeCell ref="E3:F3"/>
  </mergeCells>
  <conditionalFormatting sqref="C5:C28">
    <cfRule type="dataBar" priority="2">
      <dataBar>
        <cfvo type="min"/>
        <cfvo type="max"/>
        <color rgb="FF1A5276"/>
      </dataBar>
      <extLst>
        <ext xmlns:x14="http://schemas.microsoft.com/office/spreadsheetml/2009/9/main" uri="{B025F937-C7B1-47D3-B67F-A62EFF666E3E}">
          <x14:id>{84607BE0-4198-4FA0-ACC9-C2EE38A3F612}</x14:id>
        </ext>
      </extLst>
    </cfRule>
  </conditionalFormatting>
  <conditionalFormatting sqref="F5:F11">
    <cfRule type="dataBar" priority="3">
      <dataBar>
        <cfvo type="min"/>
        <cfvo type="max"/>
        <color rgb="FFD4690A"/>
      </dataBar>
      <extLst>
        <ext xmlns:x14="http://schemas.microsoft.com/office/spreadsheetml/2009/9/main" uri="{B025F937-C7B1-47D3-B67F-A62EFF666E3E}">
          <x14:id>{9E15B855-3B73-4374-BB10-FF293DD186C3}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607BE0-4198-4FA0-ACC9-C2EE38A3F612}">
            <x14:dataBar axisPosition="none">
              <x14:cfvo type="min"/>
              <x14:cfvo type="max"/>
              <x14:negativeFillColor rgb="FF1A5276"/>
            </x14:dataBar>
          </x14:cfRule>
          <xm:sqref>C5:C28</xm:sqref>
        </x14:conditionalFormatting>
        <x14:conditionalFormatting xmlns:xm="http://schemas.microsoft.com/office/excel/2006/main">
          <x14:cfRule type="dataBar" id="{9E15B855-3B73-4374-BB10-FF293DD186C3}">
            <x14:dataBar axisPosition="none">
              <x14:cfvo type="min"/>
              <x14:cfvo type="max"/>
              <x14:negativeFillColor rgb="FFD4690A"/>
            </x14:dataBar>
          </x14:cfRule>
          <xm:sqref>F5:F11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Revenue &amp; Growth</vt:lpstr>
      <vt:lpstr>Product Categories</vt:lpstr>
      <vt:lpstr>Geography</vt:lpstr>
      <vt:lpstr>Delivery Performance</vt:lpstr>
      <vt:lpstr>Payments &amp; AOV</vt:lpstr>
      <vt:lpstr>Customer Reviews</vt:lpstr>
      <vt:lpstr>RFM Segmentation</vt:lpstr>
      <vt:lpstr>Seller Performance</vt:lpstr>
      <vt:lpstr>Order 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Frederik Chan</cp:lastModifiedBy>
  <cp:revision>1</cp:revision>
  <dcterms:created xsi:type="dcterms:W3CDTF">2026-03-10T13:59:11Z</dcterms:created>
  <dcterms:modified xsi:type="dcterms:W3CDTF">2026-05-11T16:28:31Z</dcterms:modified>
  <dc:language>en-US</dc:language>
</cp:coreProperties>
</file>